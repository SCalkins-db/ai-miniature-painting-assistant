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d by Model Air" sheetId="1" r:id="rId3"/>
    <sheet state="visible" name="Sorted by Game Color" sheetId="2" r:id="rId4"/>
    <sheet state="visible" name="Sorted by Model Color" sheetId="3" r:id="rId5"/>
  </sheets>
  <definedNames>
    <definedName name="Paints2">'Sorted by Game Color'!$A$1:$O$274</definedName>
    <definedName name="Paints3">'Sorted by Model Color'!$A$1:$O$274</definedName>
    <definedName name="HexCodes">'Sorted by Model Color'!$O$1:$O$295</definedName>
    <definedName localSheetId="1" name="HexCodes">'Sorted by Game Color'!$O$1:$O$295</definedName>
    <definedName name="Paints">'Sorted by Model Air'!$A$1:$O$275</definedName>
    <definedName localSheetId="0" name="HexCodes">'Sorted by Model Air'!$O$1:$O$287</definedName>
    <definedName hidden="1" localSheetId="0" name="_xlnm._FilterDatabase">'Sorted by Model Air'!$A$1:$O$275</definedName>
    <definedName hidden="1" localSheetId="1" name="_xlnm._FilterDatabase">'Sorted by Game Color'!$A$1:$Y$295</definedName>
    <definedName hidden="1" localSheetId="2" name="_xlnm._FilterDatabase">'Sorted by Model Color'!$A$1:$Y$295</definedName>
  </definedNames>
  <calcPr/>
</workbook>
</file>

<file path=xl/sharedStrings.xml><?xml version="1.0" encoding="utf-8"?>
<sst xmlns="http://schemas.openxmlformats.org/spreadsheetml/2006/main" count="4854" uniqueCount="1224">
  <si>
    <t>Colour</t>
  </si>
  <si>
    <t>New Citadel</t>
  </si>
  <si>
    <t>Old Citadel</t>
  </si>
  <si>
    <t>Vallejo Game Color</t>
  </si>
  <si>
    <t>VGC#</t>
  </si>
  <si>
    <t>Vallejo Model Color</t>
  </si>
  <si>
    <t>VMC#</t>
  </si>
  <si>
    <t>Vallejo Model Air</t>
  </si>
  <si>
    <t>VMA#</t>
  </si>
  <si>
    <t>Rackham</t>
  </si>
  <si>
    <t>Reaper Master</t>
  </si>
  <si>
    <t>Privateer Press P3****</t>
  </si>
  <si>
    <t>Coat D'arms***</t>
  </si>
  <si>
    <t>Hex Code</t>
  </si>
  <si>
    <t xml:space="preserve"> </t>
  </si>
  <si>
    <t xml:space="preserve"> White Scar</t>
  </si>
  <si>
    <t xml:space="preserve"> Skull White</t>
  </si>
  <si>
    <t xml:space="preserve"> Dead White (001)</t>
  </si>
  <si>
    <t>72.001</t>
  </si>
  <si>
    <t xml:space="preserve"> White (951)</t>
  </si>
  <si>
    <t>70.951</t>
  </si>
  <si>
    <t>White</t>
  </si>
  <si>
    <t>71.001</t>
  </si>
  <si>
    <t xml:space="preserve"> Eternal White (1)</t>
  </si>
  <si>
    <t xml:space="preserve"> Pure White (9039)</t>
  </si>
  <si>
    <t xml:space="preserve"> Morrow white</t>
  </si>
  <si>
    <t xml:space="preserve"> White (101)</t>
  </si>
  <si>
    <t xml:space="preserve"> FFFFFF</t>
  </si>
  <si>
    <t xml:space="preserve">  </t>
  </si>
  <si>
    <t xml:space="preserve"> Smelly Primer*</t>
  </si>
  <si>
    <t xml:space="preserve"> White Primer (002)</t>
  </si>
  <si>
    <t>72.002</t>
  </si>
  <si>
    <t xml:space="preserve"> Foundation White (919)</t>
  </si>
  <si>
    <t>70.919</t>
  </si>
  <si>
    <t xml:space="preserve"> Brush-on Primer (9108)</t>
  </si>
  <si>
    <t xml:space="preserve"> Grey Primer (141)</t>
  </si>
  <si>
    <t xml:space="preserve"> Pallid Flesh*</t>
  </si>
  <si>
    <t xml:space="preserve"> Pale Flesh (003)</t>
  </si>
  <si>
    <t>72.003</t>
  </si>
  <si>
    <t xml:space="preserve"> Light Flesh (928)</t>
  </si>
  <si>
    <t>70.928</t>
  </si>
  <si>
    <t xml:space="preserve"> Pearly Flesh (31)</t>
  </si>
  <si>
    <t xml:space="preserve"> Rosy Highlight (9069)</t>
  </si>
  <si>
    <t xml:space="preserve"> Flesh (213)</t>
  </si>
  <si>
    <t xml:space="preserve"> EEC8C7</t>
  </si>
  <si>
    <t xml:space="preserve"> Kislev Flesh</t>
  </si>
  <si>
    <t xml:space="preserve"> Elf Flesh</t>
  </si>
  <si>
    <t xml:space="preserve"> Elf Skintone (004)</t>
  </si>
  <si>
    <t>72.004</t>
  </si>
  <si>
    <t xml:space="preserve"> Flat Flesh (955)</t>
  </si>
  <si>
    <t>70.955</t>
  </si>
  <si>
    <t xml:space="preserve"> Craggy Skin (30)</t>
  </si>
  <si>
    <t xml:space="preserve"> Rosy Highlight ** (9069)</t>
  </si>
  <si>
    <t xml:space="preserve"> Elven Flesh (123)</t>
  </si>
  <si>
    <t xml:space="preserve"> F7BD7B</t>
  </si>
  <si>
    <t xml:space="preserve"> Bad Moon Yellow*</t>
  </si>
  <si>
    <t xml:space="preserve"> Bald Moon Yellow (005)</t>
  </si>
  <si>
    <t>72.005</t>
  </si>
  <si>
    <t xml:space="preserve"> Lemon Yellow (952)</t>
  </si>
  <si>
    <t>70.952</t>
  </si>
  <si>
    <t xml:space="preserve"> Clear Yellow (9095)</t>
  </si>
  <si>
    <t xml:space="preserve"> Dusky Yellow (146)</t>
  </si>
  <si>
    <t xml:space="preserve"> FFF700</t>
  </si>
  <si>
    <t xml:space="preserve"> Flash Gitz Yellow</t>
  </si>
  <si>
    <t xml:space="preserve"> Sunburst Yellow</t>
  </si>
  <si>
    <t xml:space="preserve"> Sunblast Yellow (006)</t>
  </si>
  <si>
    <t>72.006</t>
  </si>
  <si>
    <t xml:space="preserve"> Flat Yellow (953)</t>
  </si>
  <si>
    <t>70.953</t>
  </si>
  <si>
    <t>Gold Yellow (078)</t>
  </si>
  <si>
    <t>71.078</t>
  </si>
  <si>
    <t xml:space="preserve"> Lahn Yellow (40)</t>
  </si>
  <si>
    <t xml:space="preserve"> Sun Yellow (9008)</t>
  </si>
  <si>
    <t xml:space="preserve"> Sun Yellow (103)</t>
  </si>
  <si>
    <t xml:space="preserve"> FFE700</t>
  </si>
  <si>
    <t xml:space="preserve"> Yriel Yellow</t>
  </si>
  <si>
    <t xml:space="preserve"> Golden Yellow</t>
  </si>
  <si>
    <t xml:space="preserve"> Gold Yellow (007)</t>
  </si>
  <si>
    <t>72.007</t>
  </si>
  <si>
    <t xml:space="preserve"> Golden Yellow (948)</t>
  </si>
  <si>
    <t>70.948</t>
  </si>
  <si>
    <t xml:space="preserve"> Royal Yellow (39)</t>
  </si>
  <si>
    <t xml:space="preserve"> Marigold Yellow (9007)</t>
  </si>
  <si>
    <t xml:space="preserve"> Golden Yellow (159)</t>
  </si>
  <si>
    <t xml:space="preserve"> FFCE00</t>
  </si>
  <si>
    <t xml:space="preserve"> Fiery Orange *</t>
  </si>
  <si>
    <t xml:space="preserve"> Orange Fire (008)</t>
  </si>
  <si>
    <t>72.008</t>
  </si>
  <si>
    <t xml:space="preserve"> Light Orange (911)</t>
  </si>
  <si>
    <t>70.911</t>
  </si>
  <si>
    <t xml:space="preserve"> Merin's Fire (38)</t>
  </si>
  <si>
    <t xml:space="preserve"> Fire Orange (9006)</t>
  </si>
  <si>
    <t xml:space="preserve"> Flame Orange (105)</t>
  </si>
  <si>
    <t xml:space="preserve"> FF7B00</t>
  </si>
  <si>
    <t xml:space="preserve"> Troll Slayer Orange</t>
  </si>
  <si>
    <t xml:space="preserve"> Blazing Orange</t>
  </si>
  <si>
    <t xml:space="preserve"> Hot Orange (009)</t>
  </si>
  <si>
    <t>72.009</t>
  </si>
  <si>
    <t xml:space="preserve"> Scarlet (817)</t>
  </si>
  <si>
    <t>70.817</t>
  </si>
  <si>
    <t>Blue</t>
  </si>
  <si>
    <t>71.003</t>
  </si>
  <si>
    <t xml:space="preserve"> Fusion Red (37)</t>
  </si>
  <si>
    <t xml:space="preserve"> Phoenix Red (9005)</t>
  </si>
  <si>
    <t xml:space="preserve"> Burnt Orange (147)</t>
  </si>
  <si>
    <t xml:space="preserve"> FF3108</t>
  </si>
  <si>
    <t xml:space="preserve"> Evil Sunz Scarlet</t>
  </si>
  <si>
    <t xml:space="preserve"> Blood Red</t>
  </si>
  <si>
    <t xml:space="preserve"> Bloody Red (010)</t>
  </si>
  <si>
    <t>72.01</t>
  </si>
  <si>
    <t xml:space="preserve"> Vermillion (909)</t>
  </si>
  <si>
    <t>70.909</t>
  </si>
  <si>
    <t xml:space="preserve"> Rackham Red (36)</t>
  </si>
  <si>
    <t xml:space="preserve"> Clear Red (9094)</t>
  </si>
  <si>
    <t xml:space="preserve"> Blood Red (104)</t>
  </si>
  <si>
    <t xml:space="preserve"> CE0018</t>
  </si>
  <si>
    <t xml:space="preserve"> Wazdakka Red</t>
  </si>
  <si>
    <t xml:space="preserve"> Red Gore</t>
  </si>
  <si>
    <t xml:space="preserve"> Gory Red (011)</t>
  </si>
  <si>
    <t>72.011</t>
  </si>
  <si>
    <t xml:space="preserve"> Cavalry Brown (982)</t>
  </si>
  <si>
    <t>70.982</t>
  </si>
  <si>
    <t>Mahagony (036)</t>
  </si>
  <si>
    <t>71.036</t>
  </si>
  <si>
    <t xml:space="preserve"> Natural Leather (34)</t>
  </si>
  <si>
    <t xml:space="preserve"> Carnage Red (9135)</t>
  </si>
  <si>
    <t xml:space="preserve"> Vampire Red (129)</t>
  </si>
  <si>
    <t>940008</t>
  </si>
  <si>
    <t xml:space="preserve"> Khorne Red</t>
  </si>
  <si>
    <t xml:space="preserve"> Scab Red</t>
  </si>
  <si>
    <t xml:space="preserve"> Scarlett Red (012)</t>
  </si>
  <si>
    <t>72.012</t>
  </si>
  <si>
    <t xml:space="preserve"> Carmine Red (908)</t>
  </si>
  <si>
    <t>70.908</t>
  </si>
  <si>
    <t xml:space="preserve"> Arcavia Red (35)</t>
  </si>
  <si>
    <t xml:space="preserve"> Deep Red (9002)</t>
  </si>
  <si>
    <t>990033</t>
  </si>
  <si>
    <t xml:space="preserve"> Tentacle Pink*</t>
  </si>
  <si>
    <t xml:space="preserve"> Squid Pink (013)</t>
  </si>
  <si>
    <t>72.013</t>
  </si>
  <si>
    <t xml:space="preserve"> Pink (958)</t>
  </si>
  <si>
    <t>70.958</t>
  </si>
  <si>
    <t xml:space="preserve"> Friend Flesh (33)</t>
  </si>
  <si>
    <t xml:space="preserve"> Pale Violet ** (9027)</t>
  </si>
  <si>
    <t xml:space="preserve"> Shocking Pink (144)</t>
  </si>
  <si>
    <t xml:space="preserve"> EF9CB5</t>
  </si>
  <si>
    <t xml:space="preserve"> Screamer Pink</t>
  </si>
  <si>
    <t xml:space="preserve"> Warlock Purple</t>
  </si>
  <si>
    <t xml:space="preserve"> Warlord Purple (014)</t>
  </si>
  <si>
    <t>72.014</t>
  </si>
  <si>
    <t xml:space="preserve"> Magenta (945)</t>
  </si>
  <si>
    <t>70.945</t>
  </si>
  <si>
    <t xml:space="preserve"> Celestial Pink (46)</t>
  </si>
  <si>
    <t xml:space="preserve"> Pale Violet Red (9027)</t>
  </si>
  <si>
    <t xml:space="preserve"> Warlock Purple (157)</t>
  </si>
  <si>
    <t xml:space="preserve"> 9C004A</t>
  </si>
  <si>
    <t xml:space="preserve"> Xereus Purple</t>
  </si>
  <si>
    <t xml:space="preserve"> Liche Purple</t>
  </si>
  <si>
    <t xml:space="preserve"> Hexed Lichen (015)</t>
  </si>
  <si>
    <t>72.015</t>
  </si>
  <si>
    <t xml:space="preserve"> Divine Purple (6)</t>
  </si>
  <si>
    <t xml:space="preserve"> Clear Plum (9132)</t>
  </si>
  <si>
    <t xml:space="preserve"> Beaten Purple (93051)</t>
  </si>
  <si>
    <t xml:space="preserve"> Poison Purple (118)</t>
  </si>
  <si>
    <t xml:space="preserve"> 5A005A</t>
  </si>
  <si>
    <t xml:space="preserve"> Imperial Purple*</t>
  </si>
  <si>
    <t xml:space="preserve"> Royal Purple (016)</t>
  </si>
  <si>
    <t>72.016</t>
  </si>
  <si>
    <t xml:space="preserve"> Royal Purple (810)</t>
  </si>
  <si>
    <t>70.810</t>
  </si>
  <si>
    <t xml:space="preserve"> Deep Amethyst (9079)</t>
  </si>
  <si>
    <t xml:space="preserve"> Amethest Purple (160)</t>
  </si>
  <si>
    <t xml:space="preserve"> 562F7E</t>
  </si>
  <si>
    <t xml:space="preserve"> Nauseating Blue *</t>
  </si>
  <si>
    <t xml:space="preserve"> Sick Blue (017)</t>
  </si>
  <si>
    <t>72.017</t>
  </si>
  <si>
    <t xml:space="preserve"> Violet ** (960)</t>
  </si>
  <si>
    <t>70.960</t>
  </si>
  <si>
    <t xml:space="preserve"> Clear Purple (9099)</t>
  </si>
  <si>
    <t xml:space="preserve"> Nauseous Blue (162)</t>
  </si>
  <si>
    <t xml:space="preserve"> 412A7A</t>
  </si>
  <si>
    <t xml:space="preserve"> Storm Blue *</t>
  </si>
  <si>
    <t xml:space="preserve"> Stormy Blue (018)</t>
  </si>
  <si>
    <t>72.018</t>
  </si>
  <si>
    <t xml:space="preserve"> Blue (925)</t>
  </si>
  <si>
    <t>70.925</t>
  </si>
  <si>
    <t xml:space="preserve"> Migol Blue (5)</t>
  </si>
  <si>
    <t xml:space="preserve"> Ritterlich Blue ** (9115)</t>
  </si>
  <si>
    <t xml:space="preserve"> 27357E</t>
  </si>
  <si>
    <t xml:space="preserve"> Midnight Blue*</t>
  </si>
  <si>
    <t xml:space="preserve"> Night Blue (019)</t>
  </si>
  <si>
    <t>72.019</t>
  </si>
  <si>
    <t xml:space="preserve"> Dark Prussian Blue (899)</t>
  </si>
  <si>
    <t>70.899</t>
  </si>
  <si>
    <t>"Blue Angels" Blue</t>
  </si>
  <si>
    <t>71.090</t>
  </si>
  <si>
    <t xml:space="preserve"> Abyssal Blue (3)</t>
  </si>
  <si>
    <t xml:space="preserve"> Ultramarine Shadow (9187)</t>
  </si>
  <si>
    <t>31</t>
  </si>
  <si>
    <t xml:space="preserve"> Kantor Blue</t>
  </si>
  <si>
    <t xml:space="preserve"> Regal Blue</t>
  </si>
  <si>
    <t xml:space="preserve"> Imperial Blue (020)</t>
  </si>
  <si>
    <t>72.020</t>
  </si>
  <si>
    <t xml:space="preserve"> Royal Blue (809)</t>
  </si>
  <si>
    <t>70.809</t>
  </si>
  <si>
    <t xml:space="preserve"> Brilliant Blue (9116)</t>
  </si>
  <si>
    <t xml:space="preserve"> Royal Blue (110)</t>
  </si>
  <si>
    <t xml:space="preserve"> 08085A</t>
  </si>
  <si>
    <t xml:space="preserve"> Caledor Sky</t>
  </si>
  <si>
    <t xml:space="preserve"> Enchanted Blue</t>
  </si>
  <si>
    <t xml:space="preserve"> Magic Blue (021)</t>
  </si>
  <si>
    <t>72.021</t>
  </si>
  <si>
    <t xml:space="preserve"> Dark Blue (930)</t>
  </si>
  <si>
    <t>70.930</t>
  </si>
  <si>
    <t xml:space="preserve"> Ephren Blue (4)</t>
  </si>
  <si>
    <t xml:space="preserve"> Cyan Blue ** (9117)</t>
  </si>
  <si>
    <t xml:space="preserve"> Wizard Blue (114)</t>
  </si>
  <si>
    <t xml:space="preserve"> 31639C</t>
  </si>
  <si>
    <t xml:space="preserve"> Altdorf Guard Blue</t>
  </si>
  <si>
    <t xml:space="preserve"> Ultramarine Blue</t>
  </si>
  <si>
    <t xml:space="preserve"> Ultra Marine Blue (022)</t>
  </si>
  <si>
    <t>72.022</t>
  </si>
  <si>
    <t xml:space="preserve"> Ultramarine (839)</t>
  </si>
  <si>
    <t>70.839</t>
  </si>
  <si>
    <t xml:space="preserve"> Wizard Blue ** (7)</t>
  </si>
  <si>
    <t xml:space="preserve"> Ultramarine Highlight ** (9189)</t>
  </si>
  <si>
    <t xml:space="preserve"> Marine Blue (148)</t>
  </si>
  <si>
    <t xml:space="preserve"> 29397B</t>
  </si>
  <si>
    <t xml:space="preserve"> Lightning Bolt Blue *</t>
  </si>
  <si>
    <t xml:space="preserve"> Electric Blue (023)</t>
  </si>
  <si>
    <t>72.023</t>
  </si>
  <si>
    <t xml:space="preserve"> Sky Blue (961)</t>
  </si>
  <si>
    <t>70.961</t>
  </si>
  <si>
    <t xml:space="preserve"> Sacred Blue ** (8)</t>
  </si>
  <si>
    <t xml:space="preserve"> Sky Blue ** (9018)</t>
  </si>
  <si>
    <t xml:space="preserve"> High Elf Blue (117)</t>
  </si>
  <si>
    <t xml:space="preserve"> 8BB9DD</t>
  </si>
  <si>
    <t xml:space="preserve"> Sotek Green</t>
  </si>
  <si>
    <t xml:space="preserve"> Hawk Turquoise</t>
  </si>
  <si>
    <t xml:space="preserve"> Falcon Turquoise (024)</t>
  </si>
  <si>
    <t>72.024</t>
  </si>
  <si>
    <t xml:space="preserve"> Light Turquoise (840)</t>
  </si>
  <si>
    <t>70.840</t>
  </si>
  <si>
    <t xml:space="preserve"> Precious Blue (12)</t>
  </si>
  <si>
    <t xml:space="preserve"> Marine Teal (9077)</t>
  </si>
  <si>
    <t xml:space="preserve"> Aquamarine (132)</t>
  </si>
  <si>
    <t xml:space="preserve"> 006B5A</t>
  </si>
  <si>
    <t xml:space="preserve"> Vile Green *</t>
  </si>
  <si>
    <t xml:space="preserve"> Foul Green (025)</t>
  </si>
  <si>
    <t>72.025</t>
  </si>
  <si>
    <t xml:space="preserve"> Park Green Flat (969)</t>
  </si>
  <si>
    <t>70.969</t>
  </si>
  <si>
    <t xml:space="preserve"> Antique Green (13)</t>
  </si>
  <si>
    <t xml:space="preserve"> 82C59C</t>
  </si>
  <si>
    <t xml:space="preserve"> Jade Green*</t>
  </si>
  <si>
    <t xml:space="preserve"> Jade Green (026)</t>
  </si>
  <si>
    <t>72.026</t>
  </si>
  <si>
    <t xml:space="preserve"> Reptilian Greens Triad ** (9184/9185/9186)</t>
  </si>
  <si>
    <t xml:space="preserve"> Jade Green** (158)</t>
  </si>
  <si>
    <t xml:space="preserve"> 069B7D</t>
  </si>
  <si>
    <t xml:space="preserve"> Scaly Green *</t>
  </si>
  <si>
    <t xml:space="preserve"> Scurf Green (027)</t>
  </si>
  <si>
    <t>72.027</t>
  </si>
  <si>
    <t xml:space="preserve"> Emerald (838)</t>
  </si>
  <si>
    <t>70.838</t>
  </si>
  <si>
    <t xml:space="preserve"> Chitin Green (19)</t>
  </si>
  <si>
    <t xml:space="preserve"> Clear Viridian (9131)</t>
  </si>
  <si>
    <t xml:space="preserve"> 026B67</t>
  </si>
  <si>
    <t xml:space="preserve"> Caliban Green</t>
  </si>
  <si>
    <t xml:space="preserve"> Dark Angels Green</t>
  </si>
  <si>
    <t xml:space="preserve"> Dark Green (028)</t>
  </si>
  <si>
    <t>72.028</t>
  </si>
  <si>
    <t xml:space="preserve"> Deep Green (970)</t>
  </si>
  <si>
    <t>70.970</t>
  </si>
  <si>
    <t xml:space="preserve"> Diisha Green (18)</t>
  </si>
  <si>
    <t xml:space="preserve"> Pine Green ** (9010)</t>
  </si>
  <si>
    <t xml:space="preserve"> Gnarls Green **</t>
  </si>
  <si>
    <t xml:space="preserve"> Dark Elf Green (111)</t>
  </si>
  <si>
    <t>5221</t>
  </si>
  <si>
    <t xml:space="preserve"> Warpstone Glow</t>
  </si>
  <si>
    <t xml:space="preserve"> Snot Green</t>
  </si>
  <si>
    <t xml:space="preserve"> Sick Green (029)</t>
  </si>
  <si>
    <t>72.029</t>
  </si>
  <si>
    <t xml:space="preserve"> Intermediate Green (891)</t>
  </si>
  <si>
    <t>70.891</t>
  </si>
  <si>
    <t>Pale Green (095)</t>
  </si>
  <si>
    <t>71.095</t>
  </si>
  <si>
    <t xml:space="preserve"> Avagddu Green (17)</t>
  </si>
  <si>
    <t xml:space="preserve"> Clear Green (9096)</t>
  </si>
  <si>
    <t xml:space="preserve"> Bogey Green (121)</t>
  </si>
  <si>
    <t xml:space="preserve"> 106B21</t>
  </si>
  <si>
    <t xml:space="preserve"> Warboss Green</t>
  </si>
  <si>
    <t xml:space="preserve"> Goblin Green</t>
  </si>
  <si>
    <t xml:space="preserve"> Goblin Green (030)</t>
  </si>
  <si>
    <t>72.03</t>
  </si>
  <si>
    <t xml:space="preserve"> Pastel Green (885)</t>
  </si>
  <si>
    <t>70.885</t>
  </si>
  <si>
    <t>Grey RLM 84 (103)</t>
  </si>
  <si>
    <t>71.103</t>
  </si>
  <si>
    <t xml:space="preserve"> Chasm Green (16)</t>
  </si>
  <si>
    <t xml:space="preserve"> Field Green ** (9167)</t>
  </si>
  <si>
    <t xml:space="preserve"> Goblin Green (108)</t>
  </si>
  <si>
    <t xml:space="preserve"> 63B521</t>
  </si>
  <si>
    <t xml:space="preserve"> Elysian Green</t>
  </si>
  <si>
    <t xml:space="preserve"> Camo Green</t>
  </si>
  <si>
    <t xml:space="preserve"> Camouflage Green (031)</t>
  </si>
  <si>
    <t>72.031</t>
  </si>
  <si>
    <t xml:space="preserve"> Olive Green (967)</t>
  </si>
  <si>
    <t>70.967</t>
  </si>
  <si>
    <t xml:space="preserve"> Camoflage Green ** (9177)</t>
  </si>
  <si>
    <t xml:space="preserve"> A5A542</t>
  </si>
  <si>
    <t xml:space="preserve"> Moot Green</t>
  </si>
  <si>
    <t xml:space="preserve"> Scorpion Green</t>
  </si>
  <si>
    <t xml:space="preserve"> Scorpy Green (032)</t>
  </si>
  <si>
    <t>72.032</t>
  </si>
  <si>
    <t xml:space="preserve"> Light Green (942)</t>
  </si>
  <si>
    <t>70.942</t>
  </si>
  <si>
    <t xml:space="preserve"> Quithayran Green (14)</t>
  </si>
  <si>
    <t xml:space="preserve"> Pale Green (9012)</t>
  </si>
  <si>
    <t xml:space="preserve"> Scorpion Green (152)</t>
  </si>
  <si>
    <t xml:space="preserve"> A5D610</t>
  </si>
  <si>
    <t xml:space="preserve"> Bilious Green *</t>
  </si>
  <si>
    <t xml:space="preserve"> Livery Green (033)</t>
  </si>
  <si>
    <t>72.033</t>
  </si>
  <si>
    <t xml:space="preserve"> Yellow Green ** (954)</t>
  </si>
  <si>
    <t>70.954</t>
  </si>
  <si>
    <t xml:space="preserve"> Mystic Green (15)</t>
  </si>
  <si>
    <t xml:space="preserve"> Spring Green ** (9146)</t>
  </si>
  <si>
    <t xml:space="preserve"> A9D171</t>
  </si>
  <si>
    <t xml:space="preserve"> Ushabti Bone</t>
  </si>
  <si>
    <t xml:space="preserve"> Bleached Bone</t>
  </si>
  <si>
    <t xml:space="preserve"> Bonewhite (034)</t>
  </si>
  <si>
    <t>72.034</t>
  </si>
  <si>
    <t xml:space="preserve"> Buff (976)</t>
  </si>
  <si>
    <t>70.976</t>
  </si>
  <si>
    <t xml:space="preserve"> Wildcat Gray ** (42)</t>
  </si>
  <si>
    <t xml:space="preserve"> Yellowed Bone (9143)</t>
  </si>
  <si>
    <t xml:space="preserve"> Jack Bone **</t>
  </si>
  <si>
    <t xml:space="preserve"> Bone (112)</t>
  </si>
  <si>
    <t xml:space="preserve"> EFD9A8</t>
  </si>
  <si>
    <t xml:space="preserve"> Nurgling Green</t>
  </si>
  <si>
    <t xml:space="preserve"> Rotting Flesh</t>
  </si>
  <si>
    <t xml:space="preserve"> Dead Flesh (035)</t>
  </si>
  <si>
    <t>72.035</t>
  </si>
  <si>
    <t xml:space="preserve"> German Yellow ** (806)</t>
  </si>
  <si>
    <t>70.806</t>
  </si>
  <si>
    <t xml:space="preserve"> Dead Flesh (11)</t>
  </si>
  <si>
    <t xml:space="preserve"> Pale Olive (9036)</t>
  </si>
  <si>
    <t xml:space="preserve"> Putrid Green (125)</t>
  </si>
  <si>
    <t xml:space="preserve"> E7EFC6</t>
  </si>
  <si>
    <t xml:space="preserve"> Bronzed Flesh *</t>
  </si>
  <si>
    <t xml:space="preserve"> Bronze Flesh (036)</t>
  </si>
  <si>
    <t>72.036</t>
  </si>
  <si>
    <t xml:space="preserve"> Dark Flesh (927)</t>
  </si>
  <si>
    <t>70.927</t>
  </si>
  <si>
    <t xml:space="preserve"> Burnt Orange ** (9111)</t>
  </si>
  <si>
    <t xml:space="preserve"> Tanned Flesh (115)</t>
  </si>
  <si>
    <t xml:space="preserve"> F7944A</t>
  </si>
  <si>
    <t xml:space="preserve"> Tau Light Ochre</t>
  </si>
  <si>
    <t xml:space="preserve"> Vomit Brown</t>
  </si>
  <si>
    <t xml:space="preserve"> Filthy Brown (037)</t>
  </si>
  <si>
    <t>72.037</t>
  </si>
  <si>
    <t xml:space="preserve"> Beige Red (804)</t>
  </si>
  <si>
    <t>70.804</t>
  </si>
  <si>
    <t xml:space="preserve"> Tanned Skin (29)</t>
  </si>
  <si>
    <t xml:space="preserve"> Tanned Leather (9031)</t>
  </si>
  <si>
    <t xml:space="preserve"> Bilious Brown (130)</t>
  </si>
  <si>
    <t xml:space="preserve"> DE9408</t>
  </si>
  <si>
    <t xml:space="preserve"> Leprous Brown*</t>
  </si>
  <si>
    <t xml:space="preserve"> Scrofulous Brown (038)</t>
  </si>
  <si>
    <t>72.038</t>
  </si>
  <si>
    <t xml:space="preserve"> Gold Brown (877)</t>
  </si>
  <si>
    <t>70.877</t>
  </si>
  <si>
    <t>Golden Brown (032)</t>
  </si>
  <si>
    <t>71.032</t>
  </si>
  <si>
    <t xml:space="preserve"> Saffron Sunset ** (9182)</t>
  </si>
  <si>
    <t xml:space="preserve"> Leprous Brown (156)</t>
  </si>
  <si>
    <t xml:space="preserve"> D88E2D</t>
  </si>
  <si>
    <t xml:space="preserve"> Zamesi Desert</t>
  </si>
  <si>
    <t xml:space="preserve"> Bubonic Brown</t>
  </si>
  <si>
    <t xml:space="preserve"> Plague Brown (039)</t>
  </si>
  <si>
    <t>72.039</t>
  </si>
  <si>
    <t xml:space="preserve"> Yellow Ochre (913)</t>
  </si>
  <si>
    <t>70.913</t>
  </si>
  <si>
    <t xml:space="preserve"> Forgotten Gold (25)</t>
  </si>
  <si>
    <t xml:space="preserve"> Palomino Gold (9074)</t>
  </si>
  <si>
    <t xml:space="preserve"> Festering Brown (126)</t>
  </si>
  <si>
    <t xml:space="preserve"> C68400</t>
  </si>
  <si>
    <t xml:space="preserve"> Balor Brown</t>
  </si>
  <si>
    <t xml:space="preserve"> Snakebite Leather</t>
  </si>
  <si>
    <t xml:space="preserve"> Cobra Leather /Leather Brown (040)</t>
  </si>
  <si>
    <t>72.04</t>
  </si>
  <si>
    <t xml:space="preserve"> Brown Sand (876)</t>
  </si>
  <si>
    <t>70.876</t>
  </si>
  <si>
    <t xml:space="preserve"> Kalliene Yellow (23)</t>
  </si>
  <si>
    <t xml:space="preserve"> Chestnut Gold (9073)</t>
  </si>
  <si>
    <t xml:space="preserve"> Barbarian Leather (116)</t>
  </si>
  <si>
    <t xml:space="preserve"> 9C6B08</t>
  </si>
  <si>
    <t xml:space="preserve"> Ratskin Flesh</t>
  </si>
  <si>
    <t xml:space="preserve"> Dwarf Flesh</t>
  </si>
  <si>
    <t xml:space="preserve"> Dwarf Skin (041)</t>
  </si>
  <si>
    <t>72.041</t>
  </si>
  <si>
    <t xml:space="preserve"> Brown Rose (803)</t>
  </si>
  <si>
    <t>70.803</t>
  </si>
  <si>
    <t xml:space="preserve"> Rosy Skin (9068)</t>
  </si>
  <si>
    <t xml:space="preserve"> Dwarven Flesh (124)</t>
  </si>
  <si>
    <t xml:space="preserve"> F78C5A</t>
  </si>
  <si>
    <t xml:space="preserve"> Skrag Brown</t>
  </si>
  <si>
    <t xml:space="preserve"> Vermin Brown</t>
  </si>
  <si>
    <t xml:space="preserve"> Parasite Brown (042)</t>
  </si>
  <si>
    <t>72.042</t>
  </si>
  <si>
    <t xml:space="preserve"> Orange Brown (981)</t>
  </si>
  <si>
    <t>70.981</t>
  </si>
  <si>
    <t xml:space="preserve"> Syhar Soil (24)</t>
  </si>
  <si>
    <t xml:space="preserve"> Chestnut Brown ** (9071)</t>
  </si>
  <si>
    <t xml:space="preserve"> Rat Brown (119)</t>
  </si>
  <si>
    <t>843910</t>
  </si>
  <si>
    <t xml:space="preserve"> Mournfang Brown</t>
  </si>
  <si>
    <t xml:space="preserve"> Bestial Brown</t>
  </si>
  <si>
    <t xml:space="preserve"> Beasty Brown (043)</t>
  </si>
  <si>
    <t>72.043</t>
  </si>
  <si>
    <t xml:space="preserve"> Flat Brown (984)</t>
  </si>
  <si>
    <t>70.984</t>
  </si>
  <si>
    <t>Burnt Umber (040)</t>
  </si>
  <si>
    <t>71.040</t>
  </si>
  <si>
    <t xml:space="preserve"> Soil of Avagddu (22)</t>
  </si>
  <si>
    <t xml:space="preserve"> Intense Brown (9138)</t>
  </si>
  <si>
    <t xml:space="preserve"> Hairy Brown (120)</t>
  </si>
  <si>
    <t>663300</t>
  </si>
  <si>
    <t xml:space="preserve"> Doombull Brown</t>
  </si>
  <si>
    <t xml:space="preserve"> Dark Flesh</t>
  </si>
  <si>
    <t xml:space="preserve"> Dark Fleshtone (044)</t>
  </si>
  <si>
    <t>72.044</t>
  </si>
  <si>
    <t xml:space="preserve"> Mahogany Brown (846)</t>
  </si>
  <si>
    <t>70.846</t>
  </si>
  <si>
    <t xml:space="preserve"> Beastly Flesh (21)</t>
  </si>
  <si>
    <t xml:space="preserve"> Chestnut Brown (9071)</t>
  </si>
  <si>
    <t>630808</t>
  </si>
  <si>
    <t xml:space="preserve"> Rhinox Hide</t>
  </si>
  <si>
    <t xml:space="preserve"> Scorched Brown</t>
  </si>
  <si>
    <t xml:space="preserve"> Charred Brown (045)</t>
  </si>
  <si>
    <t>72.045</t>
  </si>
  <si>
    <t xml:space="preserve"> Hull Red (985)</t>
  </si>
  <si>
    <t>70.985</t>
  </si>
  <si>
    <t>Hull Red (039)</t>
  </si>
  <si>
    <t>71.039</t>
  </si>
  <si>
    <t xml:space="preserve"> Dirty Leather (20)</t>
  </si>
  <si>
    <t xml:space="preserve"> Muddy Brown (9028)</t>
  </si>
  <si>
    <t xml:space="preserve"> Battlefield Brown **</t>
  </si>
  <si>
    <t>390008</t>
  </si>
  <si>
    <t xml:space="preserve"> Ghostly Grey *</t>
  </si>
  <si>
    <t xml:space="preserve"> Ghost Grey (046)</t>
  </si>
  <si>
    <t>72.046</t>
  </si>
  <si>
    <t xml:space="preserve"> Flat Aluminum (993)</t>
  </si>
  <si>
    <t>70.993</t>
  </si>
  <si>
    <t xml:space="preserve"> Ghost White (9063)</t>
  </si>
  <si>
    <t xml:space="preserve"> C3C6CD</t>
  </si>
  <si>
    <t xml:space="preserve"> Fenrisian Grey</t>
  </si>
  <si>
    <t xml:space="preserve"> Space Wolves Grey</t>
  </si>
  <si>
    <t xml:space="preserve"> Wolf Grey (047)</t>
  </si>
  <si>
    <t>72.047</t>
  </si>
  <si>
    <t xml:space="preserve"> Pale Greyblue (907)</t>
  </si>
  <si>
    <t>70.907</t>
  </si>
  <si>
    <t>Pale Grey Blue (046)</t>
  </si>
  <si>
    <t>71.046</t>
  </si>
  <si>
    <t xml:space="preserve"> Snow Shadow (9021)</t>
  </si>
  <si>
    <t xml:space="preserve"> Lupin Grey (151)</t>
  </si>
  <si>
    <t xml:space="preserve"> CEDEE7</t>
  </si>
  <si>
    <t xml:space="preserve"> The Fang</t>
  </si>
  <si>
    <t xml:space="preserve"> Shadow Grey</t>
  </si>
  <si>
    <t xml:space="preserve"> Sombre Grey (048)</t>
  </si>
  <si>
    <t>72.048</t>
  </si>
  <si>
    <t xml:space="preserve"> Oxford Blue (807)</t>
  </si>
  <si>
    <t>70.807</t>
  </si>
  <si>
    <t xml:space="preserve"> Twilight Blue (9020)</t>
  </si>
  <si>
    <t xml:space="preserve"> Shadow Grey (150)</t>
  </si>
  <si>
    <t xml:space="preserve"> Administratum Grey</t>
  </si>
  <si>
    <t xml:space="preserve"> Fortress Grey</t>
  </si>
  <si>
    <t xml:space="preserve"> Stonewall Grey (049)</t>
  </si>
  <si>
    <t>72.049</t>
  </si>
  <si>
    <t xml:space="preserve"> Pale Grey Blue (907)</t>
  </si>
  <si>
    <t xml:space="preserve"> Sharp Gray (43)</t>
  </si>
  <si>
    <t xml:space="preserve"> Weathered Stone (9087)</t>
  </si>
  <si>
    <t xml:space="preserve"> B5B5B5</t>
  </si>
  <si>
    <t xml:space="preserve"> Dawnstone</t>
  </si>
  <si>
    <t xml:space="preserve"> Codex Grey</t>
  </si>
  <si>
    <t xml:space="preserve"> Cold Grey (050)</t>
  </si>
  <si>
    <t>72.05</t>
  </si>
  <si>
    <t xml:space="preserve"> Basalt Grey (869)</t>
  </si>
  <si>
    <t>70.869</t>
  </si>
  <si>
    <t>Base Grey (097)</t>
  </si>
  <si>
    <t>71.097</t>
  </si>
  <si>
    <t xml:space="preserve"> Gray of Darkness (45)</t>
  </si>
  <si>
    <t xml:space="preserve"> Rainy Grey (9038)</t>
  </si>
  <si>
    <t>999999</t>
  </si>
  <si>
    <t xml:space="preserve"> Abaddon Black</t>
  </si>
  <si>
    <t xml:space="preserve"> Chaos Black</t>
  </si>
  <si>
    <t xml:space="preserve"> Chaos Black / Black (051)</t>
  </si>
  <si>
    <t>72.051</t>
  </si>
  <si>
    <t xml:space="preserve"> Black (950)</t>
  </si>
  <si>
    <t>70.950</t>
  </si>
  <si>
    <t>Black (057)</t>
  </si>
  <si>
    <t>71.057</t>
  </si>
  <si>
    <t xml:space="preserve"> Accursed Black (2)</t>
  </si>
  <si>
    <t xml:space="preserve"> Pure Black (9037)</t>
  </si>
  <si>
    <t xml:space="preserve"> Thamar Black</t>
  </si>
  <si>
    <t xml:space="preserve"> Black (102)</t>
  </si>
  <si>
    <t>0</t>
  </si>
  <si>
    <t xml:space="preserve"> Runefang Steel</t>
  </si>
  <si>
    <t xml:space="preserve"> Mithril Silver</t>
  </si>
  <si>
    <t xml:space="preserve"> Mithril Silver / Silver (052)</t>
  </si>
  <si>
    <t>72.052</t>
  </si>
  <si>
    <t xml:space="preserve"> Silver (997)</t>
  </si>
  <si>
    <t>70.997</t>
  </si>
  <si>
    <t>Chrome (064)</t>
  </si>
  <si>
    <t>71.064</t>
  </si>
  <si>
    <t xml:space="preserve"> Polished Silver (49)</t>
  </si>
  <si>
    <t xml:space="preserve"> Polished Silver (9054)</t>
  </si>
  <si>
    <t xml:space="preserve"> Enchanted Silver (106)</t>
  </si>
  <si>
    <t xml:space="preserve"> B5B5BD</t>
  </si>
  <si>
    <t xml:space="preserve"> Ironbreaker</t>
  </si>
  <si>
    <t xml:space="preserve"> Chainmail</t>
  </si>
  <si>
    <t xml:space="preserve"> Chain Mail (053)</t>
  </si>
  <si>
    <t>72.053</t>
  </si>
  <si>
    <t xml:space="preserve"> Natural Steel (864)</t>
  </si>
  <si>
    <t>70.864</t>
  </si>
  <si>
    <t>Aluminum (062)</t>
  </si>
  <si>
    <t>71.062</t>
  </si>
  <si>
    <t xml:space="preserve"> Honed Steel (9053)</t>
  </si>
  <si>
    <t xml:space="preserve"> Chainmail (109)</t>
  </si>
  <si>
    <t xml:space="preserve"> 7B737B</t>
  </si>
  <si>
    <t xml:space="preserve"> Leadbelcher</t>
  </si>
  <si>
    <t xml:space="preserve"> Boltgun Metal</t>
  </si>
  <si>
    <t xml:space="preserve"> Gunmetal / Gunmetal Metal (054)</t>
  </si>
  <si>
    <t>72.054</t>
  </si>
  <si>
    <t xml:space="preserve"> Gunmetal Grey (863)</t>
  </si>
  <si>
    <t>70.863</t>
  </si>
  <si>
    <t>Gun Metal (072)</t>
  </si>
  <si>
    <t>71.072</t>
  </si>
  <si>
    <t xml:space="preserve"> Shadowed Steel (9052)</t>
  </si>
  <si>
    <t xml:space="preserve"> Gun Metal (142)</t>
  </si>
  <si>
    <t>393939</t>
  </si>
  <si>
    <t xml:space="preserve"> Auric Armour Gold</t>
  </si>
  <si>
    <t xml:space="preserve"> Burnished Gold</t>
  </si>
  <si>
    <t xml:space="preserve"> Polished Gold (055)</t>
  </si>
  <si>
    <t>72.055</t>
  </si>
  <si>
    <t xml:space="preserve"> Gold (996)</t>
  </si>
  <si>
    <t>70.996</t>
  </si>
  <si>
    <t>Gold (066)</t>
  </si>
  <si>
    <t>71.066</t>
  </si>
  <si>
    <t xml:space="preserve"> New Gold (9051)</t>
  </si>
  <si>
    <t xml:space="preserve"> Brass Balls **</t>
  </si>
  <si>
    <t xml:space="preserve"> E7BD42</t>
  </si>
  <si>
    <t xml:space="preserve"> Gehenna's Gold</t>
  </si>
  <si>
    <t xml:space="preserve"> Shining Gold</t>
  </si>
  <si>
    <t xml:space="preserve"> Glorious Gold (056)</t>
  </si>
  <si>
    <t>72.056</t>
  </si>
  <si>
    <t xml:space="preserve"> Old Gold (878)</t>
  </si>
  <si>
    <t>70.878</t>
  </si>
  <si>
    <t xml:space="preserve"> Antique Gold (9050)</t>
  </si>
  <si>
    <t xml:space="preserve"> Bright Gold (107)</t>
  </si>
  <si>
    <t xml:space="preserve"> CCCC33</t>
  </si>
  <si>
    <t xml:space="preserve"> Hashut Copper</t>
  </si>
  <si>
    <t xml:space="preserve"> Dwarf Bronze</t>
  </si>
  <si>
    <t xml:space="preserve"> Bright Bronze (057)</t>
  </si>
  <si>
    <t>72.057</t>
  </si>
  <si>
    <t xml:space="preserve"> Bronze (998)</t>
  </si>
  <si>
    <t>70.998</t>
  </si>
  <si>
    <t xml:space="preserve"> Ancient Bronze (9049)</t>
  </si>
  <si>
    <t xml:space="preserve"> Dwarven Bronze (143)</t>
  </si>
  <si>
    <t xml:space="preserve"> 9C5221</t>
  </si>
  <si>
    <t xml:space="preserve"> Brazen Brass *</t>
  </si>
  <si>
    <t xml:space="preserve"> Brassy Brass (058)</t>
  </si>
  <si>
    <t>72.058</t>
  </si>
  <si>
    <t xml:space="preserve"> Brass (801)</t>
  </si>
  <si>
    <t>70.801</t>
  </si>
  <si>
    <t xml:space="preserve"> Tarnished Brass ** (9198)</t>
  </si>
  <si>
    <t xml:space="preserve"> Brass (131)</t>
  </si>
  <si>
    <t xml:space="preserve"> 735A21</t>
  </si>
  <si>
    <t xml:space="preserve"> Beaten Copper *</t>
  </si>
  <si>
    <t xml:space="preserve"> Hammered Copper (059)</t>
  </si>
  <si>
    <t>72.059</t>
  </si>
  <si>
    <t xml:space="preserve"> Copper (999)</t>
  </si>
  <si>
    <t>70.999</t>
  </si>
  <si>
    <t xml:space="preserve"> Coppery Orange (9102)</t>
  </si>
  <si>
    <t xml:space="preserve"> 73372D</t>
  </si>
  <si>
    <t xml:space="preserve"> Warplock Bronze</t>
  </si>
  <si>
    <t xml:space="preserve"> Tin Bitz</t>
  </si>
  <si>
    <t xml:space="preserve"> Tinny Tin (060)</t>
  </si>
  <si>
    <t>72.06</t>
  </si>
  <si>
    <t xml:space="preserve"> Scorched Metal (9125)</t>
  </si>
  <si>
    <t xml:space="preserve"> Magic Metal (113)</t>
  </si>
  <si>
    <t>393121</t>
  </si>
  <si>
    <t xml:space="preserve"> Karak Stone</t>
  </si>
  <si>
    <t xml:space="preserve"> Kommando Khaki</t>
  </si>
  <si>
    <t xml:space="preserve"> Khaki (061)</t>
  </si>
  <si>
    <t>72.061</t>
  </si>
  <si>
    <t xml:space="preserve"> German Cam. Beige WWII (821)</t>
  </si>
  <si>
    <t>70.821</t>
  </si>
  <si>
    <t>Hemp (023)</t>
  </si>
  <si>
    <t>71.023</t>
  </si>
  <si>
    <t xml:space="preserve"> Terran Khaki (9122)</t>
  </si>
  <si>
    <t xml:space="preserve"> 9B8C7B</t>
  </si>
  <si>
    <t xml:space="preserve"> Steel Legion Drab</t>
  </si>
  <si>
    <t xml:space="preserve"> Graveyard Earth</t>
  </si>
  <si>
    <t xml:space="preserve"> Earth (062)</t>
  </si>
  <si>
    <t>72.062</t>
  </si>
  <si>
    <t xml:space="preserve"> English Uniform (921)</t>
  </si>
  <si>
    <t>70.921</t>
  </si>
  <si>
    <t xml:space="preserve"> Uniform Brown (9127)</t>
  </si>
  <si>
    <t>655138</t>
  </si>
  <si>
    <t xml:space="preserve"> Tallarn Sand</t>
  </si>
  <si>
    <t xml:space="preserve"> Desert Yellow</t>
  </si>
  <si>
    <t xml:space="preserve"> Desert Yellow (063)</t>
  </si>
  <si>
    <t>72.063</t>
  </si>
  <si>
    <t xml:space="preserve"> Dark Yellow (978)</t>
  </si>
  <si>
    <t>70.978</t>
  </si>
  <si>
    <t>Dark Yellow (025)</t>
  </si>
  <si>
    <t>71.025</t>
  </si>
  <si>
    <t xml:space="preserve"> Faded Khaki (9129)</t>
  </si>
  <si>
    <t xml:space="preserve"> 9C8855</t>
  </si>
  <si>
    <t xml:space="preserve"> Terracotta*</t>
  </si>
  <si>
    <t xml:space="preserve"> Terracotta (065)</t>
  </si>
  <si>
    <t>72.065</t>
  </si>
  <si>
    <t xml:space="preserve"> Clotted Red (9134)</t>
  </si>
  <si>
    <t>793721</t>
  </si>
  <si>
    <t xml:space="preserve"> Tanned Flesh *</t>
  </si>
  <si>
    <t xml:space="preserve"> Tan (066)</t>
  </si>
  <si>
    <t>72.066</t>
  </si>
  <si>
    <t xml:space="preserve"> Antique Rose (9139)</t>
  </si>
  <si>
    <t>A95C3E</t>
  </si>
  <si>
    <t xml:space="preserve"> Castellan Green</t>
  </si>
  <si>
    <t xml:space="preserve"> Catachan Green</t>
  </si>
  <si>
    <t xml:space="preserve"> Cayman Green (067)</t>
  </si>
  <si>
    <t>72.067</t>
  </si>
  <si>
    <t xml:space="preserve"> Olive Grey (888)</t>
  </si>
  <si>
    <t>70.889</t>
  </si>
  <si>
    <t>Olive Grey (015)</t>
  </si>
  <si>
    <t>71.015</t>
  </si>
  <si>
    <t xml:space="preserve"> Muddy Olive (9034)</t>
  </si>
  <si>
    <t>455440</t>
  </si>
  <si>
    <t xml:space="preserve"> Purple Ink *</t>
  </si>
  <si>
    <t xml:space="preserve"> Violet Ink (087)</t>
  </si>
  <si>
    <t>72.087</t>
  </si>
  <si>
    <t>513D3C</t>
  </si>
  <si>
    <t xml:space="preserve"> Dark Green Ink *</t>
  </si>
  <si>
    <t xml:space="preserve"> Green Ink (089)</t>
  </si>
  <si>
    <t>72.089</t>
  </si>
  <si>
    <t>108473</t>
  </si>
  <si>
    <t xml:space="preserve"> Black Ink *</t>
  </si>
  <si>
    <t xml:space="preserve"> Black Ink (094)</t>
  </si>
  <si>
    <t>72.094</t>
  </si>
  <si>
    <t xml:space="preserve"> Lothern Blue</t>
  </si>
  <si>
    <t xml:space="preserve"> Ice Blue</t>
  </si>
  <si>
    <t xml:space="preserve"> Ice Blue (095)</t>
  </si>
  <si>
    <t>72.095</t>
  </si>
  <si>
    <t xml:space="preserve"> Azure Blue (902)</t>
  </si>
  <si>
    <t>70.902</t>
  </si>
  <si>
    <t>UK Azure (108)</t>
  </si>
  <si>
    <t>71.108</t>
  </si>
  <si>
    <t xml:space="preserve"> Glacier Blue (9)</t>
  </si>
  <si>
    <t xml:space="preserve"> 6B9CCE</t>
  </si>
  <si>
    <t xml:space="preserve"> Cadian Fleshtone</t>
  </si>
  <si>
    <t xml:space="preserve"> Tallarn Flesh</t>
  </si>
  <si>
    <t xml:space="preserve"> Heavy Skintone (140)</t>
  </si>
  <si>
    <t>72.14</t>
  </si>
  <si>
    <t xml:space="preserve"> Leather Brown (9030)</t>
  </si>
  <si>
    <t xml:space="preserve"> 8D736C</t>
  </si>
  <si>
    <t xml:space="preserve"> Mephiston Red</t>
  </si>
  <si>
    <t xml:space="preserve"> Mechrite Red</t>
  </si>
  <si>
    <t xml:space="preserve"> Heavy Red (141)</t>
  </si>
  <si>
    <t>72.141</t>
  </si>
  <si>
    <t xml:space="preserve"> Red (926)</t>
  </si>
  <si>
    <t>70.926</t>
  </si>
  <si>
    <t>793638</t>
  </si>
  <si>
    <t xml:space="preserve"> Daemonette Hide</t>
  </si>
  <si>
    <t xml:space="preserve"> Hormagaunt Purple</t>
  </si>
  <si>
    <t xml:space="preserve"> Heavy Violet (142)</t>
  </si>
  <si>
    <t>72.142</t>
  </si>
  <si>
    <t xml:space="preserve"> Violet (960)</t>
  </si>
  <si>
    <t xml:space="preserve"> Nightshade Purple (9022)</t>
  </si>
  <si>
    <t xml:space="preserve"> 4F566C</t>
  </si>
  <si>
    <t xml:space="preserve"> Macragge Blue</t>
  </si>
  <si>
    <t xml:space="preserve"> Mordian Blue</t>
  </si>
  <si>
    <t xml:space="preserve"> Heavy Blue (143)</t>
  </si>
  <si>
    <t>72.143</t>
  </si>
  <si>
    <t xml:space="preserve"> Prussian Blue (965)</t>
  </si>
  <si>
    <t>70.965</t>
  </si>
  <si>
    <t xml:space="preserve"> Breonne Blue (9055)</t>
  </si>
  <si>
    <t xml:space="preserve"> 2D567C</t>
  </si>
  <si>
    <t xml:space="preserve"> Celestra Grey</t>
  </si>
  <si>
    <t xml:space="preserve"> Astronomicon Grey</t>
  </si>
  <si>
    <t xml:space="preserve"> Heavy Bluegrey (144)</t>
  </si>
  <si>
    <t>72.144</t>
  </si>
  <si>
    <t xml:space="preserve"> Pale Blue Grey (905)</t>
  </si>
  <si>
    <t>70.905</t>
  </si>
  <si>
    <t xml:space="preserve"> 96A5A9</t>
  </si>
  <si>
    <t xml:space="preserve"> Mechanicus Standard Grey</t>
  </si>
  <si>
    <t xml:space="preserve"> Adeptus Battlegrey</t>
  </si>
  <si>
    <t xml:space="preserve"> Heavy Grey (145)</t>
  </si>
  <si>
    <t>72.145</t>
  </si>
  <si>
    <t xml:space="preserve"> Russian Uniform (924)</t>
  </si>
  <si>
    <t>70.924</t>
  </si>
  <si>
    <t xml:space="preserve"> Military Green (9176)</t>
  </si>
  <si>
    <t xml:space="preserve"> 7C8286</t>
  </si>
  <si>
    <t xml:space="preserve"> Loren Forest</t>
  </si>
  <si>
    <t xml:space="preserve"> Knarloc Green</t>
  </si>
  <si>
    <t xml:space="preserve"> Heavy Green (146)</t>
  </si>
  <si>
    <t>72.146</t>
  </si>
  <si>
    <t xml:space="preserve"> Luftwaffe Ca. Green (823)</t>
  </si>
  <si>
    <t>70.823</t>
  </si>
  <si>
    <t>Field Green (093)</t>
  </si>
  <si>
    <t>71.093</t>
  </si>
  <si>
    <t xml:space="preserve"> Olive Drab (9158)</t>
  </si>
  <si>
    <t xml:space="preserve"> 434F38</t>
  </si>
  <si>
    <t xml:space="preserve"> Orkhide Shade</t>
  </si>
  <si>
    <t xml:space="preserve"> Heavy Blackgreen (147)</t>
  </si>
  <si>
    <t>72.147</t>
  </si>
  <si>
    <t xml:space="preserve"> Black Green (980)</t>
  </si>
  <si>
    <t>70.980</t>
  </si>
  <si>
    <t xml:space="preserve"> Jungle Moss (9082)</t>
  </si>
  <si>
    <t>3.84E+51</t>
  </si>
  <si>
    <t xml:space="preserve"> Rakarth Flesh</t>
  </si>
  <si>
    <t xml:space="preserve"> Dheneb Stone</t>
  </si>
  <si>
    <t xml:space="preserve"> Heavy Warmgrey **(148)</t>
  </si>
  <si>
    <t>72.148</t>
  </si>
  <si>
    <t xml:space="preserve"> Ruddy Leather (9109)</t>
  </si>
  <si>
    <t xml:space="preserve"> B9ADA1</t>
  </si>
  <si>
    <t xml:space="preserve"> Deathworld Forest</t>
  </si>
  <si>
    <t xml:space="preserve"> Gretchin Green</t>
  </si>
  <si>
    <t xml:space="preserve"> Heavy Khaki (149)</t>
  </si>
  <si>
    <t>72.149</t>
  </si>
  <si>
    <t xml:space="preserve"> Middlestone (882)</t>
  </si>
  <si>
    <t>70.882</t>
  </si>
  <si>
    <t xml:space="preserve"> 6A6445</t>
  </si>
  <si>
    <t xml:space="preserve"> Tausept Ochre</t>
  </si>
  <si>
    <t xml:space="preserve"> Heavy Ochre (150)</t>
  </si>
  <si>
    <t>72.15</t>
  </si>
  <si>
    <t xml:space="preserve"> Ochre Brown (856)</t>
  </si>
  <si>
    <t>70.856</t>
  </si>
  <si>
    <t xml:space="preserve"> Half Orc Highlight (9204)</t>
  </si>
  <si>
    <t xml:space="preserve"> 976F3C</t>
  </si>
  <si>
    <t xml:space="preserve"> Averland Sunset</t>
  </si>
  <si>
    <t xml:space="preserve"> Iyanden Darksun</t>
  </si>
  <si>
    <t xml:space="preserve"> Heavy Goldbrown (151)</t>
  </si>
  <si>
    <t>72.151</t>
  </si>
  <si>
    <t xml:space="preserve"> Goldbrown (877)</t>
  </si>
  <si>
    <t xml:space="preserve"> Green Ochre (9128)</t>
  </si>
  <si>
    <t xml:space="preserve"> 9C8A53</t>
  </si>
  <si>
    <t xml:space="preserve"> Jokaero Orange</t>
  </si>
  <si>
    <t xml:space="preserve"> Macharius Solar Orange</t>
  </si>
  <si>
    <t xml:space="preserve"> Heavy Orange (152)</t>
  </si>
  <si>
    <t>72.152</t>
  </si>
  <si>
    <t xml:space="preserve"> German Orange (805)</t>
  </si>
  <si>
    <t>70.805</t>
  </si>
  <si>
    <t xml:space="preserve"> A4593D</t>
  </si>
  <si>
    <t xml:space="preserve"> Baneblade Brown</t>
  </si>
  <si>
    <t xml:space="preserve"> Khemri Brown</t>
  </si>
  <si>
    <t xml:space="preserve"> Heavy Brown (153)</t>
  </si>
  <si>
    <t>72.153</t>
  </si>
  <si>
    <t xml:space="preserve"> Us Field Drab (873)</t>
  </si>
  <si>
    <t>70.873</t>
  </si>
  <si>
    <t>Dark Earth (029)</t>
  </si>
  <si>
    <t>71.029</t>
  </si>
  <si>
    <t xml:space="preserve"> Woodstain Brown (9160)</t>
  </si>
  <si>
    <t>705E50</t>
  </si>
  <si>
    <t xml:space="preserve"> Calthan Brown</t>
  </si>
  <si>
    <t xml:space="preserve"> Heavy Siena (154)</t>
  </si>
  <si>
    <t>72.154</t>
  </si>
  <si>
    <t xml:space="preserve"> Dark Highlight (9042)</t>
  </si>
  <si>
    <t xml:space="preserve"> 6D5044</t>
  </si>
  <si>
    <t xml:space="preserve"> Stormvermin Fur</t>
  </si>
  <si>
    <t xml:space="preserve"> Charadon Granite</t>
  </si>
  <si>
    <t xml:space="preserve"> Heavy Charcoal (155)</t>
  </si>
  <si>
    <t>72.155</t>
  </si>
  <si>
    <t xml:space="preserve"> German Grey (995)</t>
  </si>
  <si>
    <t>70.995</t>
  </si>
  <si>
    <t xml:space="preserve"> Pure Black (9103)</t>
  </si>
  <si>
    <t xml:space="preserve"> 4D4A4A</t>
  </si>
  <si>
    <t xml:space="preserve"> Seraphim Sepia</t>
  </si>
  <si>
    <t xml:space="preserve"> Gryphonne Sepia Wash</t>
  </si>
  <si>
    <t xml:space="preserve"> Sepia Wash (73200)</t>
  </si>
  <si>
    <t>73.200</t>
  </si>
  <si>
    <t xml:space="preserve"> Nuln Oil</t>
  </si>
  <si>
    <t xml:space="preserve"> Badab Black Wash</t>
  </si>
  <si>
    <t xml:space="preserve"> Black Wash (73201)</t>
  </si>
  <si>
    <t>73.201</t>
  </si>
  <si>
    <t xml:space="preserve"> Druchii Violet</t>
  </si>
  <si>
    <t xml:space="preserve"> Leviathan Purple Wash</t>
  </si>
  <si>
    <t xml:space="preserve"> **** Pale Grey Shade Wash (73202)</t>
  </si>
  <si>
    <t>73.202</t>
  </si>
  <si>
    <t>842994</t>
  </si>
  <si>
    <t xml:space="preserve"> Agrax Earthshade</t>
  </si>
  <si>
    <t xml:space="preserve"> Devlan Mud Wash</t>
  </si>
  <si>
    <t xml:space="preserve"> Umber Shade Wash (73203)</t>
  </si>
  <si>
    <t>73.203</t>
  </si>
  <si>
    <t xml:space="preserve"> Reikland Fleshshade</t>
  </si>
  <si>
    <t xml:space="preserve"> Ogryn Flesh Wash</t>
  </si>
  <si>
    <t xml:space="preserve"> Fleshtone Shade Wash (73204)</t>
  </si>
  <si>
    <t>73.204</t>
  </si>
  <si>
    <t>CE8C42</t>
  </si>
  <si>
    <t xml:space="preserve"> Biel-Tan Green</t>
  </si>
  <si>
    <t xml:space="preserve"> Thraka Green Wash</t>
  </si>
  <si>
    <t xml:space="preserve"> Green Shade Wash (73205)</t>
  </si>
  <si>
    <t>73.205</t>
  </si>
  <si>
    <t>434F38</t>
  </si>
  <si>
    <t xml:space="preserve"> Carroburg Crimson</t>
  </si>
  <si>
    <t xml:space="preserve"> Baal Red Wash</t>
  </si>
  <si>
    <t xml:space="preserve"> Red Shade Wash (73206)</t>
  </si>
  <si>
    <t>73.206</t>
  </si>
  <si>
    <t xml:space="preserve"> Drakenhof Nightshade</t>
  </si>
  <si>
    <t xml:space="preserve"> Asurmen Blue Wash</t>
  </si>
  <si>
    <t xml:space="preserve"> Blue Shade Wash (73207)</t>
  </si>
  <si>
    <t>73.207</t>
  </si>
  <si>
    <t>273E53</t>
  </si>
  <si>
    <t>Gunmetal Blue (800)</t>
  </si>
  <si>
    <t>70.800</t>
  </si>
  <si>
    <t>Sunset Red (802)</t>
  </si>
  <si>
    <t>70.802</t>
  </si>
  <si>
    <t>Blue Green (808)</t>
  </si>
  <si>
    <t>70.808</t>
  </si>
  <si>
    <t>Blue Violet (811)</t>
  </si>
  <si>
    <t>70.811</t>
  </si>
  <si>
    <t>Violet Red (812)</t>
  </si>
  <si>
    <t>70.812</t>
  </si>
  <si>
    <t>70.813</t>
  </si>
  <si>
    <t>Burnt Cadmium Red (814)</t>
  </si>
  <si>
    <t>70.814</t>
  </si>
  <si>
    <t>Basic Skintone (815)</t>
  </si>
  <si>
    <t>70.815</t>
  </si>
  <si>
    <t>WWII Luftwaffe Uniform</t>
  </si>
  <si>
    <t>70.816</t>
  </si>
  <si>
    <t>Intermediate Blue</t>
  </si>
  <si>
    <t>71.005</t>
  </si>
  <si>
    <t>Red Leather (818)</t>
  </si>
  <si>
    <t>70.818</t>
  </si>
  <si>
    <t>Iraqi Sand (819)</t>
  </si>
  <si>
    <t>70.819</t>
  </si>
  <si>
    <t>Sand Yellow (028)</t>
  </si>
  <si>
    <t>71.028</t>
  </si>
  <si>
    <t>Off White (820)</t>
  </si>
  <si>
    <t>70.820</t>
  </si>
  <si>
    <t>70.822</t>
  </si>
  <si>
    <t>70.824</t>
  </si>
  <si>
    <t>70.825</t>
  </si>
  <si>
    <t>Cam. Light Brown (035)</t>
  </si>
  <si>
    <t>71.035</t>
  </si>
  <si>
    <t>German Cam. Medium Brown (826)</t>
  </si>
  <si>
    <t>70.826</t>
  </si>
  <si>
    <t>Lime Green (827)</t>
  </si>
  <si>
    <t>70.827</t>
  </si>
  <si>
    <t>Woodgrain (828)</t>
  </si>
  <si>
    <t>70.828</t>
  </si>
  <si>
    <t>Amarantha Red (829)</t>
  </si>
  <si>
    <t>70.829</t>
  </si>
  <si>
    <t>70.830</t>
  </si>
  <si>
    <t>German Green (020)</t>
  </si>
  <si>
    <t>71.020</t>
  </si>
  <si>
    <t>Tan Glaze (831)</t>
  </si>
  <si>
    <t>70.831</t>
  </si>
  <si>
    <t>Verdigris Glaze (832)</t>
  </si>
  <si>
    <t>70.832</t>
  </si>
  <si>
    <t>70.833</t>
  </si>
  <si>
    <t>Light Green</t>
  </si>
  <si>
    <t>71.006</t>
  </si>
  <si>
    <t>Natural Wood (834)</t>
  </si>
  <si>
    <t>70.834</t>
  </si>
  <si>
    <t>Salmon Rose (835)</t>
  </si>
  <si>
    <t>70.835</t>
  </si>
  <si>
    <t>London Grey (836)</t>
  </si>
  <si>
    <t>70.836</t>
  </si>
  <si>
    <t>Pale Sand (837)</t>
  </si>
  <si>
    <t>70.837</t>
  </si>
  <si>
    <t>Andrea Blue (841)</t>
  </si>
  <si>
    <t>70.841</t>
  </si>
  <si>
    <t>Gloss White (842)</t>
  </si>
  <si>
    <t>70.842</t>
  </si>
  <si>
    <t>70.843</t>
  </si>
  <si>
    <t>Sandy Brown (034)</t>
  </si>
  <si>
    <t>71.034</t>
  </si>
  <si>
    <t>70.844</t>
  </si>
  <si>
    <t>Light Sea Blue (089)</t>
  </si>
  <si>
    <t>71.089</t>
  </si>
  <si>
    <t>Sunny Skin Tone (845)</t>
  </si>
  <si>
    <t>70.845</t>
  </si>
  <si>
    <t>Dark Sand (847)</t>
  </si>
  <si>
    <t>70.847</t>
  </si>
  <si>
    <t>70.850</t>
  </si>
  <si>
    <t>Interior Green</t>
  </si>
  <si>
    <t>71.010</t>
  </si>
  <si>
    <t>Bright Orange (851)</t>
  </si>
  <si>
    <t>70.851</t>
  </si>
  <si>
    <t>White Glaze (853)</t>
  </si>
  <si>
    <t>70.853</t>
  </si>
  <si>
    <t>Brown Glaze (854)</t>
  </si>
  <si>
    <t>70.854</t>
  </si>
  <si>
    <t>Black Glaze (855)</t>
  </si>
  <si>
    <t>70.855</t>
  </si>
  <si>
    <t>Golden Olive (857)</t>
  </si>
  <si>
    <t>70.857</t>
  </si>
  <si>
    <t>Ice Yellow (858)</t>
  </si>
  <si>
    <t>70.858</t>
  </si>
  <si>
    <t>Black - Red (859)</t>
  </si>
  <si>
    <t>70.859</t>
  </si>
  <si>
    <t>Medium Flesh (860)</t>
  </si>
  <si>
    <t>70.860</t>
  </si>
  <si>
    <t>Gloss Black (861)</t>
  </si>
  <si>
    <t>70.861</t>
  </si>
  <si>
    <t>70.862</t>
  </si>
  <si>
    <t>Black Grey (056)</t>
  </si>
  <si>
    <t>71.056</t>
  </si>
  <si>
    <t>Oily Steel (865)</t>
  </si>
  <si>
    <t>70.865</t>
  </si>
  <si>
    <t>Grey Green (866)</t>
  </si>
  <si>
    <t>70.866</t>
  </si>
  <si>
    <t>Grey Green (055)</t>
  </si>
  <si>
    <t>71.055</t>
  </si>
  <si>
    <t>Dark Blue Grey (867)</t>
  </si>
  <si>
    <t>70.867</t>
  </si>
  <si>
    <t>Dark Sea Green (868)</t>
  </si>
  <si>
    <t>70.868</t>
  </si>
  <si>
    <t>Dark Seagreen (053)</t>
  </si>
  <si>
    <t>71.053</t>
  </si>
  <si>
    <t>Medium Sea Green (870)</t>
  </si>
  <si>
    <t>70.870</t>
  </si>
  <si>
    <t>Leather Brown (871)</t>
  </si>
  <si>
    <t>70.871</t>
  </si>
  <si>
    <t>Chocolate Brown (872)</t>
  </si>
  <si>
    <t>70.872</t>
  </si>
  <si>
    <t>Tan Earth (874)</t>
  </si>
  <si>
    <t>70.874</t>
  </si>
  <si>
    <t>Beige Brown</t>
  </si>
  <si>
    <t>70.875</t>
  </si>
  <si>
    <t>Green Brown (878)</t>
  </si>
  <si>
    <t>70.879</t>
  </si>
  <si>
    <t>Old Gold (879)</t>
  </si>
  <si>
    <t>70.880</t>
  </si>
  <si>
    <t>Yellow Green (881)</t>
  </si>
  <si>
    <t>70.881</t>
  </si>
  <si>
    <t>Panzer Ochre (081)</t>
  </si>
  <si>
    <t>71.081</t>
  </si>
  <si>
    <t>70.883</t>
  </si>
  <si>
    <t>70.884</t>
  </si>
  <si>
    <t>Green Grey (886)</t>
  </si>
  <si>
    <t>70.886</t>
  </si>
  <si>
    <t>Brown Viloet (887)</t>
  </si>
  <si>
    <t>70.887</t>
  </si>
  <si>
    <t>Olive Grey (888)</t>
  </si>
  <si>
    <t>70.888</t>
  </si>
  <si>
    <t>Reflective Green (890)</t>
  </si>
  <si>
    <t>70.890</t>
  </si>
  <si>
    <t>Medium Green (092)</t>
  </si>
  <si>
    <t>71.092</t>
  </si>
  <si>
    <t>Yellow Olive</t>
  </si>
  <si>
    <t>70.892</t>
  </si>
  <si>
    <t>Yellow Olive (013)</t>
  </si>
  <si>
    <t>71.013</t>
  </si>
  <si>
    <t>70.893</t>
  </si>
  <si>
    <t>US Dark Green (016)</t>
  </si>
  <si>
    <t>71.016</t>
  </si>
  <si>
    <t>70.894</t>
  </si>
  <si>
    <t>Russian Green (017)</t>
  </si>
  <si>
    <t>71.017</t>
  </si>
  <si>
    <t>Gunship Green (895)</t>
  </si>
  <si>
    <t>70.895</t>
  </si>
  <si>
    <t>German Camo Extra Dark Green (896)</t>
  </si>
  <si>
    <t>70.896</t>
  </si>
  <si>
    <t>Bronze Green (897)</t>
  </si>
  <si>
    <t>70.897</t>
  </si>
  <si>
    <t>Black Green (021)</t>
  </si>
  <si>
    <t>71.021</t>
  </si>
  <si>
    <t>Dark Sea Blue (898)</t>
  </si>
  <si>
    <t>70.898</t>
  </si>
  <si>
    <t>Insignia Blue</t>
  </si>
  <si>
    <t>71.091</t>
  </si>
  <si>
    <t>French Mirage Blue (900)</t>
  </si>
  <si>
    <t>70.900</t>
  </si>
  <si>
    <t>Pastel Blue (901)</t>
  </si>
  <si>
    <t>70.901</t>
  </si>
  <si>
    <t>Intermediate Blue (903)</t>
  </si>
  <si>
    <t>70.903</t>
  </si>
  <si>
    <t>Dark Blue Pale (904)</t>
  </si>
  <si>
    <t>70.904</t>
  </si>
  <si>
    <t>UK P.R.U. Blue (109)</t>
  </si>
  <si>
    <t>71.109</t>
  </si>
  <si>
    <t>Pale Blue (906)</t>
  </si>
  <si>
    <t>70.906</t>
  </si>
  <si>
    <t>Pale Blue</t>
  </si>
  <si>
    <t>71.008</t>
  </si>
  <si>
    <t>Orange Red (910)</t>
  </si>
  <si>
    <t>70.910</t>
  </si>
  <si>
    <t>Africa Korps Tan Yellow (912)</t>
  </si>
  <si>
    <t>70.912</t>
  </si>
  <si>
    <t>Green Ochre (914)</t>
  </si>
  <si>
    <t>70.914</t>
  </si>
  <si>
    <t>Deep Yellow</t>
  </si>
  <si>
    <t>70.915</t>
  </si>
  <si>
    <t>Yellow</t>
  </si>
  <si>
    <t>71.002</t>
  </si>
  <si>
    <t>Sand Yellow (916)</t>
  </si>
  <si>
    <t>70.916</t>
  </si>
  <si>
    <t>Beige (917)</t>
  </si>
  <si>
    <t>70.917</t>
  </si>
  <si>
    <t>Ivory (918)</t>
  </si>
  <si>
    <t>70.918</t>
  </si>
  <si>
    <t>German Uniform Green</t>
  </si>
  <si>
    <t>70.920</t>
  </si>
  <si>
    <t>Uniform Green</t>
  </si>
  <si>
    <t>70.922</t>
  </si>
  <si>
    <t>Green Zinc Chromate (094)</t>
  </si>
  <si>
    <t>71.094</t>
  </si>
  <si>
    <t>Japan Uniform Green WWII (923)</t>
  </si>
  <si>
    <t>70.923</t>
  </si>
  <si>
    <t>Light Brown</t>
  </si>
  <si>
    <t>70.929</t>
  </si>
  <si>
    <t>Transparent Red (934)</t>
  </si>
  <si>
    <t>70.934</t>
  </si>
  <si>
    <t>Transparent Orange (935)</t>
  </si>
  <si>
    <t>70.935</t>
  </si>
  <si>
    <t>Transparent Green (936)</t>
  </si>
  <si>
    <t>70.936</t>
  </si>
  <si>
    <t>Transparent Yellow (937)</t>
  </si>
  <si>
    <t>70.937</t>
  </si>
  <si>
    <t>Transparent Blue (938)</t>
  </si>
  <si>
    <t>70.938</t>
  </si>
  <si>
    <t>Smoke (939)</t>
  </si>
  <si>
    <t>70.939</t>
  </si>
  <si>
    <t>Saddle Brown (940)</t>
  </si>
  <si>
    <t>70.940</t>
  </si>
  <si>
    <t>Burnt Umber (941)</t>
  </si>
  <si>
    <t>70.941</t>
  </si>
  <si>
    <t>Cam. Medium Brown (038)</t>
  </si>
  <si>
    <t>71.038</t>
  </si>
  <si>
    <t>Grey Blue (943)</t>
  </si>
  <si>
    <t>70.943</t>
  </si>
  <si>
    <t>UK Mediterranean Blue (111)</t>
  </si>
  <si>
    <t>71.111</t>
  </si>
  <si>
    <t>Old Rose (944)</t>
  </si>
  <si>
    <t>70.944</t>
  </si>
  <si>
    <t>Dark Red (946)</t>
  </si>
  <si>
    <t>70.946</t>
  </si>
  <si>
    <t>Dark Vermillion (947)</t>
  </si>
  <si>
    <t>70.947</t>
  </si>
  <si>
    <t>Light Yellow (949)</t>
  </si>
  <si>
    <t>70.949</t>
  </si>
  <si>
    <t>Light Orange (956)</t>
  </si>
  <si>
    <t>70.956</t>
  </si>
  <si>
    <t>Light Red (086)</t>
  </si>
  <si>
    <t>71.086</t>
  </si>
  <si>
    <t>Flat Red (957)</t>
  </si>
  <si>
    <t>70.957</t>
  </si>
  <si>
    <t>Fire Red (084)</t>
  </si>
  <si>
    <t>71.084</t>
  </si>
  <si>
    <t>Purple (959)</t>
  </si>
  <si>
    <t>70.959</t>
  </si>
  <si>
    <t>Flat Blue (962)</t>
  </si>
  <si>
    <t>70.962</t>
  </si>
  <si>
    <t>Medium Blue (963)</t>
  </si>
  <si>
    <t>70.963</t>
  </si>
  <si>
    <t>Field Blue (964)</t>
  </si>
  <si>
    <t>70.964</t>
  </si>
  <si>
    <t>Turquesa (966)</t>
  </si>
  <si>
    <t>70.966</t>
  </si>
  <si>
    <t>Flat Green (968)</t>
  </si>
  <si>
    <t>70.968</t>
  </si>
  <si>
    <t>Panzer Olive Green (096)</t>
  </si>
  <si>
    <t>71.096</t>
  </si>
  <si>
    <t>Green Grey (971)</t>
  </si>
  <si>
    <t>70.971</t>
  </si>
  <si>
    <t>Light Green Blue (972)</t>
  </si>
  <si>
    <t>70.972</t>
  </si>
  <si>
    <t>Blue RLM 78 (101)</t>
  </si>
  <si>
    <t>71.101</t>
  </si>
  <si>
    <t>Light Sea Grey (973)</t>
  </si>
  <si>
    <t>70.973</t>
  </si>
  <si>
    <t>Green Sky (974)</t>
  </si>
  <si>
    <t>70.974</t>
  </si>
  <si>
    <t>Military Green (975)</t>
  </si>
  <si>
    <t>70.975</t>
  </si>
  <si>
    <t>Desert Yellow (977)</t>
  </si>
  <si>
    <t>70.977</t>
  </si>
  <si>
    <t>German Camoflogue Dark Green (979)</t>
  </si>
  <si>
    <t>70.979</t>
  </si>
  <si>
    <t>Cam. Black Green (018)</t>
  </si>
  <si>
    <t>71.018</t>
  </si>
  <si>
    <t>Flat Earth (983)</t>
  </si>
  <si>
    <t>70.983</t>
  </si>
  <si>
    <t>Deck Tan (986)</t>
  </si>
  <si>
    <t>70.986</t>
  </si>
  <si>
    <t>Medium Grey (987)</t>
  </si>
  <si>
    <t>70.987</t>
  </si>
  <si>
    <t>Khaki (988)</t>
  </si>
  <si>
    <t>70.988</t>
  </si>
  <si>
    <t>Sky Blue Grey (989)</t>
  </si>
  <si>
    <t>70.989</t>
  </si>
  <si>
    <t>Light Grey (990)</t>
  </si>
  <si>
    <t>70.990</t>
  </si>
  <si>
    <t>Light Grey (050)</t>
  </si>
  <si>
    <t>71.050</t>
  </si>
  <si>
    <t>Dark Sea Grey (991)</t>
  </si>
  <si>
    <t>70.991</t>
  </si>
  <si>
    <t>Neutral Grey (992)</t>
  </si>
  <si>
    <t>70.992</t>
  </si>
  <si>
    <t>Dark Grey (994)</t>
  </si>
  <si>
    <t>70.994</t>
  </si>
  <si>
    <t>Scarlet Red</t>
  </si>
  <si>
    <t>Olive Green</t>
  </si>
  <si>
    <t>71.007</t>
  </si>
  <si>
    <t>Duck Egg Green</t>
  </si>
  <si>
    <t>71.009</t>
  </si>
  <si>
    <t>Tank Green (011)</t>
  </si>
  <si>
    <t>71.011</t>
  </si>
  <si>
    <t>Dark Green (012)</t>
  </si>
  <si>
    <t>71.012</t>
  </si>
  <si>
    <t>Gunship Green (014)</t>
  </si>
  <si>
    <t>71.014</t>
  </si>
  <si>
    <t>Cam. Dark Green (019)</t>
  </si>
  <si>
    <t>71.019</t>
  </si>
  <si>
    <t>Khaki Brown (024)</t>
  </si>
  <si>
    <t>71.024</t>
  </si>
  <si>
    <t>US Flat Brown (026)</t>
  </si>
  <si>
    <t>71.026</t>
  </si>
  <si>
    <t>Light Brown (027)</t>
  </si>
  <si>
    <t>71.027</t>
  </si>
  <si>
    <t>Green Brown</t>
  </si>
  <si>
    <t>71.030</t>
  </si>
  <si>
    <t>Middle Stone (031)</t>
  </si>
  <si>
    <t>71.031</t>
  </si>
  <si>
    <t>Ochre (033)</t>
  </si>
  <si>
    <t>71.033</t>
  </si>
  <si>
    <t>Mud Brown (037)</t>
  </si>
  <si>
    <t>71.037</t>
  </si>
  <si>
    <t>Tank Brown (041)</t>
  </si>
  <si>
    <t>71.041</t>
  </si>
  <si>
    <t>Cam. Black Brown (042)</t>
  </si>
  <si>
    <t>71.042</t>
  </si>
  <si>
    <t>Olive Drab (043)</t>
  </si>
  <si>
    <t>71.043</t>
  </si>
  <si>
    <t>Light Grey Green (044)</t>
  </si>
  <si>
    <t>71.044</t>
  </si>
  <si>
    <t>US Grey Light (045)</t>
  </si>
  <si>
    <t>71.045</t>
  </si>
  <si>
    <t>US Grey (047)</t>
  </si>
  <si>
    <t>71.047</t>
  </si>
  <si>
    <t>Dark Sea Grey (048)</t>
  </si>
  <si>
    <t>71.048</t>
  </si>
  <si>
    <t>Oxford Blue (049)</t>
  </si>
  <si>
    <t>71.049</t>
  </si>
  <si>
    <t>Barley Grey (051)</t>
  </si>
  <si>
    <t>71.051</t>
  </si>
  <si>
    <t>German Grey (052)</t>
  </si>
  <si>
    <t>71.052</t>
  </si>
  <si>
    <t>Dark Grey Blue (054)</t>
  </si>
  <si>
    <t>71.054</t>
  </si>
  <si>
    <t>Silver (063)</t>
  </si>
  <si>
    <t>71.063</t>
  </si>
  <si>
    <t>Steel (065)</t>
  </si>
  <si>
    <t>71.065</t>
  </si>
  <si>
    <t>Bright Brass (067)</t>
  </si>
  <si>
    <t>71.067</t>
  </si>
  <si>
    <t>Copper (068)</t>
  </si>
  <si>
    <t>71.068</t>
  </si>
  <si>
    <t>Rust Metallic (069)</t>
  </si>
  <si>
    <t>71.069</t>
  </si>
  <si>
    <t>Turn Signal Red (070)</t>
  </si>
  <si>
    <t>71.070</t>
  </si>
  <si>
    <t>Arctic Blue (071)</t>
  </si>
  <si>
    <t>71.071</t>
  </si>
  <si>
    <t>Black Metallic (073)</t>
  </si>
  <si>
    <t>71.073</t>
  </si>
  <si>
    <t>Radome Tan (074)</t>
  </si>
  <si>
    <t>71.074</t>
  </si>
  <si>
    <t>Sand (075)</t>
  </si>
  <si>
    <t>71.075</t>
  </si>
  <si>
    <t>Skin Tone (076)</t>
  </si>
  <si>
    <t>71.076</t>
  </si>
  <si>
    <t>Wood (077)</t>
  </si>
  <si>
    <t>71.077</t>
  </si>
  <si>
    <t>Flat Tan (079)</t>
  </si>
  <si>
    <t>71.079</t>
  </si>
  <si>
    <t>Rust (080)</t>
  </si>
  <si>
    <t>71.080</t>
  </si>
  <si>
    <t>Red Fluorescent (082)</t>
  </si>
  <si>
    <t>71.082</t>
  </si>
  <si>
    <t>Orange (083)</t>
  </si>
  <si>
    <t>71.083</t>
  </si>
  <si>
    <t>Italian Red (085)</t>
  </si>
  <si>
    <t>71.085</t>
  </si>
  <si>
    <t>Dark Sea Blue (087)</t>
  </si>
  <si>
    <t>71.087</t>
  </si>
  <si>
    <t>French Blue (088)</t>
  </si>
  <si>
    <t>71.088</t>
  </si>
  <si>
    <t>Red RLM 23 (102)</t>
  </si>
  <si>
    <t>71.102</t>
  </si>
  <si>
    <t>Green RLM 62 (104)</t>
  </si>
  <si>
    <t>71.104</t>
  </si>
  <si>
    <t>Brown RLM 26 (105)</t>
  </si>
  <si>
    <t>71.105</t>
  </si>
  <si>
    <t>Yellow Lazure RLM 05 (106)</t>
  </si>
  <si>
    <t>71.106</t>
  </si>
  <si>
    <t>US Interior Yellow (107)</t>
  </si>
  <si>
    <t>71.107</t>
  </si>
  <si>
    <t>UK Ext DK Sea Grey (110)</t>
  </si>
  <si>
    <t>71.110</t>
  </si>
  <si>
    <t>US Sand (112)</t>
  </si>
  <si>
    <t>71.112</t>
  </si>
  <si>
    <t>US Intermediate Blue (113)</t>
  </si>
  <si>
    <t>71.113</t>
  </si>
  <si>
    <t>657b7b</t>
  </si>
  <si>
    <t>US Blue Grey (114)</t>
  </si>
  <si>
    <t>71.114</t>
  </si>
  <si>
    <t>708989</t>
  </si>
  <si>
    <t>Cam. Green (022)</t>
  </si>
  <si>
    <t>71.122</t>
  </si>
  <si>
    <t xml:space="preserve"> Flesh Wash *</t>
  </si>
  <si>
    <t xml:space="preserve"> Ink Wash - Flesh (133)</t>
  </si>
  <si>
    <t xml:space="preserve"> CE8C42</t>
  </si>
  <si>
    <t xml:space="preserve"> Magenta Ink *</t>
  </si>
  <si>
    <t xml:space="preserve"> 513D3C</t>
  </si>
  <si>
    <t xml:space="preserve"> Fenris Grey</t>
  </si>
  <si>
    <t>365462</t>
  </si>
  <si>
    <t xml:space="preserve"> Necron Abyss</t>
  </si>
  <si>
    <t>Based on data from:</t>
  </si>
  <si>
    <t>http://www.dakkadakka.com/wiki/en/Paint_Range_Compatibility_Chart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</si>
</sst>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</font>
    <font/>
    <font>
      <sz val="10.0"/>
      <color rgb="FFFFCE00"/>
    </font>
    <font>
      <i/>
      <sz val="10.0"/>
    </font>
    <font>
      <u/>
      <color rgb="FF0000FF"/>
    </font>
  </fonts>
  <fills count="255">
    <fill>
      <patternFill patternType="none"/>
    </fill>
    <fill>
      <patternFill patternType="lightGray"/>
    </fill>
    <fill>
      <patternFill patternType="solid">
        <fgColor rgb="FFEEC8C7"/>
        <bgColor rgb="FFEEC8C7"/>
      </patternFill>
    </fill>
    <fill>
      <patternFill patternType="solid">
        <fgColor rgb="FFF7BD7B"/>
        <bgColor rgb="FFF7BD7B"/>
      </patternFill>
    </fill>
    <fill>
      <patternFill patternType="solid">
        <fgColor rgb="FFFFF700"/>
        <bgColor rgb="FFFFF700"/>
      </patternFill>
    </fill>
    <fill>
      <patternFill patternType="solid">
        <fgColor rgb="FFFDCC2F"/>
        <bgColor rgb="FFFDCC2F"/>
      </patternFill>
    </fill>
    <fill>
      <patternFill patternType="solid">
        <fgColor rgb="FFFFCE00"/>
        <bgColor rgb="FFFFCE00"/>
      </patternFill>
    </fill>
    <fill>
      <patternFill patternType="solid">
        <fgColor rgb="FFFF7B00"/>
        <bgColor rgb="FFFF7B00"/>
      </patternFill>
    </fill>
    <fill>
      <patternFill patternType="solid">
        <fgColor rgb="FFFF3108"/>
        <bgColor rgb="FFFF3108"/>
      </patternFill>
    </fill>
    <fill>
      <patternFill patternType="solid">
        <fgColor rgb="FF940008"/>
        <bgColor rgb="FF940008"/>
      </patternFill>
    </fill>
    <fill>
      <patternFill patternType="solid">
        <fgColor rgb="FFB41C27"/>
        <bgColor rgb="FFB41C27"/>
      </patternFill>
    </fill>
    <fill>
      <patternFill patternType="solid">
        <fgColor rgb="FFD77594"/>
        <bgColor rgb="FFD77594"/>
      </patternFill>
    </fill>
    <fill>
      <patternFill patternType="solid">
        <fgColor rgb="FF9C004A"/>
        <bgColor rgb="FF9C004A"/>
      </patternFill>
    </fill>
    <fill>
      <patternFill patternType="solid">
        <fgColor rgb="FF382843"/>
        <bgColor rgb="FF382843"/>
      </patternFill>
    </fill>
    <fill>
      <patternFill patternType="solid">
        <fgColor rgb="FF392F48"/>
        <bgColor rgb="FF392F48"/>
      </patternFill>
    </fill>
    <fill>
      <patternFill patternType="solid">
        <fgColor rgb="FF003260"/>
        <bgColor rgb="FF003260"/>
      </patternFill>
    </fill>
    <fill>
      <patternFill patternType="solid">
        <fgColor rgb="FF005884"/>
        <bgColor rgb="FF005884"/>
      </patternFill>
    </fill>
    <fill>
      <patternFill patternType="solid">
        <fgColor rgb="FF3D4472"/>
        <bgColor rgb="FF3D4472"/>
      </patternFill>
    </fill>
    <fill>
      <patternFill patternType="solid">
        <fgColor rgb="FF00517C"/>
        <bgColor rgb="FF00517C"/>
      </patternFill>
    </fill>
    <fill>
      <patternFill patternType="solid">
        <fgColor rgb="FF29397B"/>
        <bgColor rgb="FF29397B"/>
      </patternFill>
    </fill>
    <fill>
      <patternFill patternType="solid">
        <fgColor rgb="FF9ED9F3"/>
        <bgColor rgb="FF9ED9F3"/>
      </patternFill>
    </fill>
    <fill>
      <patternFill patternType="solid">
        <fgColor rgb="FF006B5A"/>
        <bgColor rgb="FF006B5A"/>
      </patternFill>
    </fill>
    <fill>
      <patternFill patternType="solid">
        <fgColor rgb="FF007F4E"/>
        <bgColor rgb="FF007F4E"/>
      </patternFill>
    </fill>
    <fill>
      <patternFill patternType="solid">
        <fgColor rgb="FF069B7D"/>
        <bgColor rgb="FF069B7D"/>
      </patternFill>
    </fill>
    <fill>
      <patternFill patternType="solid">
        <fgColor rgb="FF026B67"/>
        <bgColor rgb="FF026B67"/>
      </patternFill>
    </fill>
    <fill>
      <patternFill patternType="solid">
        <fgColor rgb="FF00653B"/>
        <bgColor rgb="FF00653B"/>
      </patternFill>
    </fill>
    <fill>
      <patternFill patternType="solid">
        <fgColor rgb="FF7F9950"/>
        <bgColor rgb="FF7F9950"/>
      </patternFill>
    </fill>
    <fill>
      <patternFill patternType="solid">
        <fgColor rgb="FF63B521"/>
        <bgColor rgb="FF63B521"/>
      </patternFill>
    </fill>
    <fill>
      <patternFill patternType="solid">
        <fgColor rgb="FF6F8722"/>
        <bgColor rgb="FF6F8722"/>
      </patternFill>
    </fill>
    <fill>
      <patternFill patternType="solid">
        <fgColor rgb="FF00953B"/>
        <bgColor rgb="FF00953B"/>
      </patternFill>
    </fill>
    <fill>
      <patternFill patternType="solid">
        <fgColor rgb="FFDFDC00"/>
        <bgColor rgb="FFDFDC00"/>
      </patternFill>
    </fill>
    <fill>
      <patternFill patternType="solid">
        <fgColor rgb="FFDACF9E"/>
        <bgColor rgb="FFDACF9E"/>
      </patternFill>
    </fill>
    <fill>
      <patternFill patternType="solid">
        <fgColor rgb="FFD8E289"/>
        <bgColor rgb="FFD8E289"/>
      </patternFill>
    </fill>
    <fill>
      <patternFill patternType="solid">
        <fgColor rgb="FFDCA95D"/>
        <bgColor rgb="FFDCA95D"/>
      </patternFill>
    </fill>
    <fill>
      <patternFill patternType="solid">
        <fgColor rgb="FFA87F61"/>
        <bgColor rgb="FFA87F61"/>
      </patternFill>
    </fill>
    <fill>
      <patternFill patternType="solid">
        <fgColor rgb="FF9D763F"/>
        <bgColor rgb="FF9D763F"/>
      </patternFill>
    </fill>
    <fill>
      <patternFill patternType="solid">
        <fgColor rgb="FFA77F4C"/>
        <bgColor rgb="FFA77F4C"/>
      </patternFill>
    </fill>
    <fill>
      <patternFill patternType="solid">
        <fgColor rgb="FF9C6B08"/>
        <bgColor rgb="FF9C6B08"/>
      </patternFill>
    </fill>
    <fill>
      <patternFill patternType="solid">
        <fgColor rgb="FFAF7569"/>
        <bgColor rgb="FFAF7569"/>
      </patternFill>
    </fill>
    <fill>
      <patternFill patternType="solid">
        <fgColor rgb="FFB86B39"/>
        <bgColor rgb="FFB86B39"/>
      </patternFill>
    </fill>
    <fill>
      <patternFill patternType="solid">
        <fgColor rgb="FF342927"/>
        <bgColor rgb="FF342927"/>
      </patternFill>
    </fill>
    <fill>
      <patternFill patternType="solid">
        <fgColor rgb="FF630808"/>
        <bgColor rgb="FF630808"/>
      </patternFill>
    </fill>
    <fill>
      <patternFill patternType="solid">
        <fgColor rgb="FF3C2E2D"/>
        <bgColor rgb="FF3C2E2D"/>
      </patternFill>
    </fill>
    <fill>
      <patternFill patternType="solid">
        <fgColor rgb="FFEEEFEF"/>
        <bgColor rgb="FFEEEFEF"/>
      </patternFill>
    </fill>
    <fill>
      <patternFill patternType="solid">
        <fgColor rgb="FF8F939E"/>
        <bgColor rgb="FF8F939E"/>
      </patternFill>
    </fill>
    <fill>
      <patternFill patternType="solid">
        <fgColor rgb="FF323443"/>
        <bgColor rgb="FF323443"/>
      </patternFill>
    </fill>
    <fill>
      <patternFill patternType="solid">
        <fgColor rgb="FF616A6F"/>
        <bgColor rgb="FF616A6F"/>
      </patternFill>
    </fill>
    <fill>
      <patternFill patternType="solid">
        <fgColor rgb="FF252429"/>
        <bgColor rgb="FF252429"/>
      </patternFill>
    </fill>
    <fill>
      <patternFill patternType="solid">
        <fgColor rgb="FFCBCCCB"/>
        <bgColor rgb="FFCBCCCB"/>
      </patternFill>
    </fill>
    <fill>
      <patternFill patternType="solid">
        <fgColor rgb="FFEBE8E4"/>
        <bgColor rgb="FFEBE8E4"/>
      </patternFill>
    </fill>
    <fill>
      <patternFill patternType="solid">
        <fgColor rgb="FF090B1A"/>
        <bgColor rgb="FF090B1A"/>
      </patternFill>
    </fill>
    <fill>
      <patternFill patternType="solid">
        <fgColor rgb="FFDAC782"/>
        <bgColor rgb="FFDAC782"/>
      </patternFill>
    </fill>
    <fill>
      <patternFill patternType="solid">
        <fgColor rgb="FFCCCC33"/>
        <bgColor rgb="FFCCCC33"/>
      </patternFill>
    </fill>
    <fill>
      <patternFill patternType="solid">
        <fgColor rgb="FF786B36"/>
        <bgColor rgb="FF786B36"/>
      </patternFill>
    </fill>
    <fill>
      <patternFill patternType="solid">
        <fgColor rgb="FF856B4A"/>
        <bgColor rgb="FF856B4A"/>
      </patternFill>
    </fill>
    <fill>
      <patternFill patternType="solid">
        <fgColor rgb="FFAC4F26"/>
        <bgColor rgb="FFAC4F26"/>
      </patternFill>
    </fill>
    <fill>
      <patternFill patternType="solid">
        <fgColor rgb="FF392622"/>
        <bgColor rgb="FF392622"/>
      </patternFill>
    </fill>
    <fill>
      <patternFill patternType="solid">
        <fgColor rgb="FF7B775C"/>
        <bgColor rgb="FF7B775C"/>
      </patternFill>
    </fill>
    <fill>
      <patternFill patternType="solid">
        <fgColor rgb="FF655138"/>
        <bgColor rgb="FF655138"/>
      </patternFill>
    </fill>
    <fill>
      <patternFill patternType="solid">
        <fgColor rgb="FF9C8855"/>
        <bgColor rgb="FF9C8855"/>
      </patternFill>
    </fill>
    <fill>
      <patternFill patternType="solid">
        <fgColor rgb="FF793721"/>
        <bgColor rgb="FF793721"/>
      </patternFill>
    </fill>
    <fill>
      <patternFill patternType="solid">
        <fgColor rgb="FFA95C3E"/>
        <bgColor rgb="FFA95C3E"/>
      </patternFill>
    </fill>
    <fill>
      <patternFill patternType="solid">
        <fgColor rgb="FF363932"/>
        <bgColor rgb="FF363932"/>
      </patternFill>
    </fill>
    <fill>
      <patternFill patternType="solid">
        <fgColor rgb="FF513D3C"/>
        <bgColor rgb="FF513D3C"/>
      </patternFill>
    </fill>
    <fill>
      <patternFill patternType="solid">
        <fgColor rgb="FF108473"/>
        <bgColor rgb="FF108473"/>
      </patternFill>
    </fill>
    <fill>
      <patternFill patternType="solid">
        <fgColor rgb="FF000000"/>
        <bgColor rgb="FF000000"/>
      </patternFill>
    </fill>
    <fill>
      <patternFill patternType="solid">
        <fgColor rgb="FF86A5CA"/>
        <bgColor rgb="FF86A5CA"/>
      </patternFill>
    </fill>
    <fill>
      <patternFill patternType="solid">
        <fgColor rgb="FF8D736C"/>
        <bgColor rgb="FF8D736C"/>
      </patternFill>
    </fill>
    <fill>
      <patternFill patternType="solid">
        <fgColor rgb="FF91282C"/>
        <bgColor rgb="FF91282C"/>
      </patternFill>
    </fill>
    <fill>
      <patternFill patternType="solid">
        <fgColor rgb="FF1C5067"/>
        <bgColor rgb="FF1C5067"/>
      </patternFill>
    </fill>
    <fill>
      <patternFill patternType="solid">
        <fgColor rgb="FFA7ACA6"/>
        <bgColor rgb="FFA7ACA6"/>
      </patternFill>
    </fill>
    <fill>
      <patternFill patternType="solid">
        <fgColor rgb="FF636C4E"/>
        <bgColor rgb="FF636C4E"/>
      </patternFill>
    </fill>
    <fill>
      <patternFill patternType="solid">
        <fgColor rgb="FF434F38"/>
        <bgColor rgb="FF434F38"/>
      </patternFill>
    </fill>
    <fill>
      <patternFill patternType="solid">
        <fgColor rgb="FF11443B"/>
        <bgColor rgb="FF11443B"/>
      </patternFill>
    </fill>
    <fill>
      <patternFill patternType="solid">
        <fgColor rgb="FFB9ADA1"/>
        <bgColor rgb="FFB9ADA1"/>
      </patternFill>
    </fill>
    <fill>
      <patternFill patternType="solid">
        <fgColor rgb="FF6A6445"/>
        <bgColor rgb="FF6A6445"/>
      </patternFill>
    </fill>
    <fill>
      <patternFill patternType="solid">
        <fgColor rgb="FF976F3C"/>
        <bgColor rgb="FF976F3C"/>
      </patternFill>
    </fill>
    <fill>
      <patternFill patternType="solid">
        <fgColor rgb="FFDD532F"/>
        <bgColor rgb="FFDD532F"/>
      </patternFill>
    </fill>
    <fill>
      <patternFill patternType="solid">
        <fgColor rgb="FF5A492D"/>
        <bgColor rgb="FF5A492D"/>
      </patternFill>
    </fill>
    <fill>
      <patternFill patternType="solid">
        <fgColor rgb="FF1B302D"/>
        <bgColor rgb="FF1B302D"/>
      </patternFill>
    </fill>
    <fill>
      <patternFill patternType="solid">
        <fgColor rgb="FF843910"/>
        <bgColor rgb="FF843910"/>
      </patternFill>
    </fill>
    <fill>
      <patternFill patternType="solid">
        <fgColor rgb="FF393121"/>
        <bgColor rgb="FF393121"/>
      </patternFill>
    </fill>
    <fill>
      <patternFill patternType="solid">
        <fgColor rgb="FF273E53"/>
        <bgColor rgb="FF273E53"/>
      </patternFill>
    </fill>
    <fill>
      <patternFill patternType="solid">
        <fgColor rgb="FF303539"/>
        <bgColor rgb="FF303539"/>
      </patternFill>
    </fill>
    <fill>
      <patternFill patternType="solid">
        <fgColor rgb="FFA0404C"/>
        <bgColor rgb="FFA0404C"/>
      </patternFill>
    </fill>
    <fill>
      <patternFill patternType="solid">
        <fgColor rgb="FF614A78"/>
        <bgColor rgb="FF614A78"/>
      </patternFill>
    </fill>
    <fill>
      <patternFill patternType="solid">
        <fgColor rgb="FF4B2A33"/>
        <bgColor rgb="FF4B2A33"/>
      </patternFill>
    </fill>
    <fill>
      <patternFill patternType="solid">
        <fgColor rgb="FF432F31"/>
        <bgColor rgb="FF432F31"/>
      </patternFill>
    </fill>
    <fill>
      <patternFill patternType="solid">
        <fgColor rgb="FFF3AE84"/>
        <bgColor rgb="FFF3AE84"/>
      </patternFill>
    </fill>
    <fill>
      <patternFill patternType="solid">
        <fgColor rgb="FF2E3136"/>
        <bgColor rgb="FF2E3136"/>
      </patternFill>
    </fill>
    <fill>
      <patternFill patternType="solid">
        <fgColor rgb="FF673E3A"/>
        <bgColor rgb="FF673E3A"/>
      </patternFill>
    </fill>
    <fill>
      <patternFill patternType="solid">
        <fgColor rgb="FF837A5D"/>
        <bgColor rgb="FF837A5D"/>
      </patternFill>
    </fill>
    <fill>
      <patternFill patternType="solid">
        <fgColor rgb="FFF3F1E7"/>
        <bgColor rgb="FFF3F1E7"/>
      </patternFill>
    </fill>
    <fill>
      <patternFill patternType="solid">
        <fgColor rgb="FF5B3626"/>
        <bgColor rgb="FF5B3626"/>
      </patternFill>
    </fill>
    <fill>
      <patternFill patternType="solid">
        <fgColor rgb="FFA5824A"/>
        <bgColor rgb="FFA5824A"/>
      </patternFill>
    </fill>
    <fill>
      <patternFill patternType="solid">
        <fgColor rgb="FF594638"/>
        <bgColor rgb="FF594638"/>
      </patternFill>
    </fill>
    <fill>
      <patternFill patternType="solid">
        <fgColor rgb="FF6E2926"/>
        <bgColor rgb="FF6E2926"/>
      </patternFill>
    </fill>
    <fill>
      <patternFill patternType="solid">
        <fgColor rgb="FF77A933"/>
        <bgColor rgb="FF77A933"/>
      </patternFill>
    </fill>
    <fill>
      <patternFill patternType="solid">
        <fgColor rgb="FFD05333"/>
        <bgColor rgb="FFD05333"/>
      </patternFill>
    </fill>
    <fill>
      <patternFill patternType="solid">
        <fgColor rgb="FFCB3729"/>
        <bgColor rgb="FFCB3729"/>
      </patternFill>
    </fill>
    <fill>
      <patternFill patternType="solid">
        <fgColor rgb="FF3B3F40"/>
        <bgColor rgb="FF3B3F40"/>
      </patternFill>
    </fill>
    <fill>
      <patternFill patternType="solid">
        <fgColor rgb="FFEF8746"/>
        <bgColor rgb="FFEF8746"/>
      </patternFill>
    </fill>
    <fill>
      <patternFill patternType="solid">
        <fgColor rgb="FFECF7DB"/>
        <bgColor rgb="FFECF7DB"/>
      </patternFill>
    </fill>
    <fill>
      <patternFill patternType="solid">
        <fgColor rgb="FF3F4D33"/>
        <bgColor rgb="FF3F4D33"/>
      </patternFill>
    </fill>
    <fill>
      <patternFill patternType="solid">
        <fgColor rgb="FFFAD72F"/>
        <bgColor rgb="FFFAD72F"/>
      </patternFill>
    </fill>
    <fill>
      <patternFill patternType="solid">
        <fgColor rgb="FFF3A387"/>
        <bgColor rgb="FFF3A387"/>
      </patternFill>
    </fill>
    <fill>
      <patternFill patternType="solid">
        <fgColor rgb="FF515961"/>
        <bgColor rgb="FF515961"/>
      </patternFill>
    </fill>
    <fill>
      <patternFill patternType="solid">
        <fgColor rgb="FFD5C79C"/>
        <bgColor rgb="FFD5C79C"/>
      </patternFill>
    </fill>
    <fill>
      <patternFill patternType="solid">
        <fgColor rgb="FF0083C0"/>
        <bgColor rgb="FF0083C0"/>
      </patternFill>
    </fill>
    <fill>
      <patternFill patternType="solid">
        <fgColor rgb="FFFFFFFF"/>
        <bgColor rgb="FFFFFFFF"/>
      </patternFill>
    </fill>
    <fill>
      <patternFill patternType="solid">
        <fgColor rgb="FF6C513B"/>
        <bgColor rgb="FF6C513B"/>
      </patternFill>
    </fill>
    <fill>
      <patternFill patternType="solid">
        <fgColor rgb="FF00AADF"/>
        <bgColor rgb="FF00AADF"/>
      </patternFill>
    </fill>
    <fill>
      <patternFill patternType="solid">
        <fgColor rgb="FFF0B26A"/>
        <bgColor rgb="FFF0B26A"/>
      </patternFill>
    </fill>
    <fill>
      <patternFill patternType="solid">
        <fgColor rgb="FFD7B87A"/>
        <bgColor rgb="FFD7B87A"/>
      </patternFill>
    </fill>
    <fill>
      <patternFill patternType="solid">
        <fgColor rgb="FF474D31"/>
        <bgColor rgb="FF474D31"/>
      </patternFill>
    </fill>
    <fill>
      <patternFill patternType="solid">
        <fgColor rgb="FFE95E2A"/>
        <bgColor rgb="FFE95E2A"/>
      </patternFill>
    </fill>
    <fill>
      <patternFill patternType="solid">
        <fgColor rgb="FF52443B"/>
        <bgColor rgb="FF52443B"/>
      </patternFill>
    </fill>
    <fill>
      <patternFill patternType="solid">
        <fgColor rgb="FF5A704A"/>
        <bgColor rgb="FF5A704A"/>
      </patternFill>
    </fill>
    <fill>
      <patternFill patternType="solid">
        <fgColor rgb="FFFBEB8C"/>
        <bgColor rgb="FFFBEB8C"/>
      </patternFill>
    </fill>
    <fill>
      <patternFill patternType="solid">
        <fgColor rgb="FF3F2E34"/>
        <bgColor rgb="FF3F2E34"/>
      </patternFill>
    </fill>
    <fill>
      <patternFill patternType="solid">
        <fgColor rgb="FFA17048"/>
        <bgColor rgb="FFA17048"/>
      </patternFill>
    </fill>
    <fill>
      <patternFill patternType="solid">
        <fgColor rgb="FF36393E"/>
        <bgColor rgb="FF36393E"/>
      </patternFill>
    </fill>
    <fill>
      <patternFill patternType="solid">
        <fgColor rgb="FF7A7C71"/>
        <bgColor rgb="FF7A7C71"/>
      </patternFill>
    </fill>
    <fill>
      <patternFill patternType="solid">
        <fgColor rgb="FF383C3B"/>
        <bgColor rgb="FF383C3B"/>
      </patternFill>
    </fill>
    <fill>
      <patternFill patternType="solid">
        <fgColor rgb="FF475349"/>
        <bgColor rgb="FF475349"/>
      </patternFill>
    </fill>
    <fill>
      <patternFill patternType="solid">
        <fgColor rgb="FF2B2F32"/>
        <bgColor rgb="FF2B2F32"/>
      </patternFill>
    </fill>
    <fill>
      <patternFill patternType="solid">
        <fgColor rgb="FF8C9792"/>
        <bgColor rgb="FF8C9792"/>
      </patternFill>
    </fill>
    <fill>
      <patternFill patternType="solid">
        <fgColor rgb="FF4C4433"/>
        <bgColor rgb="FF4C4433"/>
      </patternFill>
    </fill>
    <fill>
      <patternFill patternType="solid">
        <fgColor rgb="FF624E3F"/>
        <bgColor rgb="FF624E3F"/>
      </patternFill>
    </fill>
    <fill>
      <patternFill patternType="solid">
        <fgColor rgb="FF9F765A"/>
        <bgColor rgb="FF9F765A"/>
      </patternFill>
    </fill>
    <fill>
      <patternFill patternType="solid">
        <fgColor rgb="FF79553E"/>
        <bgColor rgb="FF79553E"/>
      </patternFill>
    </fill>
    <fill>
      <patternFill patternType="solid">
        <fgColor rgb="FF9B8346"/>
        <bgColor rgb="FF9B8346"/>
      </patternFill>
    </fill>
    <fill>
      <patternFill patternType="solid">
        <fgColor rgb="FF947B4E"/>
        <bgColor rgb="FF947B4E"/>
      </patternFill>
    </fill>
    <fill>
      <patternFill patternType="solid">
        <fgColor rgb="FFA79148"/>
        <bgColor rgb="FFA79148"/>
      </patternFill>
    </fill>
    <fill>
      <patternFill patternType="solid">
        <fgColor rgb="FFE1E1D7"/>
        <bgColor rgb="FFE1E1D7"/>
      </patternFill>
    </fill>
    <fill>
      <patternFill patternType="solid">
        <fgColor rgb="FF9D9D7B"/>
        <bgColor rgb="FF9D9D7B"/>
      </patternFill>
    </fill>
    <fill>
      <patternFill patternType="solid">
        <fgColor rgb="FF897D56"/>
        <bgColor rgb="FF897D56"/>
      </patternFill>
    </fill>
    <fill>
      <patternFill patternType="solid">
        <fgColor rgb="FF515F48"/>
        <bgColor rgb="FF515F48"/>
      </patternFill>
    </fill>
    <fill>
      <patternFill patternType="solid">
        <fgColor rgb="FF3A5547"/>
        <bgColor rgb="FF3A5547"/>
      </patternFill>
    </fill>
    <fill>
      <patternFill patternType="solid">
        <fgColor rgb="FF5A6714"/>
        <bgColor rgb="FF5A6714"/>
      </patternFill>
    </fill>
    <fill>
      <patternFill patternType="solid">
        <fgColor rgb="FF282D27"/>
        <bgColor rgb="FF282D27"/>
      </patternFill>
    </fill>
    <fill>
      <patternFill patternType="solid">
        <fgColor rgb="FF43493D"/>
        <bgColor rgb="FF43493D"/>
      </patternFill>
    </fill>
    <fill>
      <patternFill patternType="solid">
        <fgColor rgb="FF343D2A"/>
        <bgColor rgb="FF343D2A"/>
      </patternFill>
    </fill>
    <fill>
      <patternFill patternType="solid">
        <fgColor rgb="FF3E6655"/>
        <bgColor rgb="FF3E6655"/>
      </patternFill>
    </fill>
    <fill>
      <patternFill patternType="solid">
        <fgColor rgb="FF315047"/>
        <bgColor rgb="FF315047"/>
      </patternFill>
    </fill>
    <fill>
      <patternFill patternType="solid">
        <fgColor rgb="FF353E43"/>
        <bgColor rgb="FF353E43"/>
      </patternFill>
    </fill>
    <fill>
      <patternFill patternType="solid">
        <fgColor rgb="FF2B3034"/>
        <bgColor rgb="FF2B3034"/>
      </patternFill>
    </fill>
    <fill>
      <patternFill patternType="solid">
        <fgColor rgb="FF5A777B"/>
        <bgColor rgb="FF5A777B"/>
      </patternFill>
    </fill>
    <fill>
      <patternFill patternType="solid">
        <fgColor rgb="FF668798"/>
        <bgColor rgb="FF668798"/>
      </patternFill>
    </fill>
    <fill>
      <patternFill patternType="solid">
        <fgColor rgb="FF5E7C7F"/>
        <bgColor rgb="FF5E7C7F"/>
      </patternFill>
    </fill>
    <fill>
      <patternFill patternType="solid">
        <fgColor rgb="FF474F66"/>
        <bgColor rgb="FF474F66"/>
      </patternFill>
    </fill>
    <fill>
      <patternFill patternType="solid">
        <fgColor rgb="FF758C86"/>
        <bgColor rgb="FF758C86"/>
      </patternFill>
    </fill>
    <fill>
      <patternFill patternType="solid">
        <fgColor rgb="FFCC5334"/>
        <bgColor rgb="FFCC5334"/>
      </patternFill>
    </fill>
    <fill>
      <patternFill patternType="solid">
        <fgColor rgb="FF8C7452"/>
        <bgColor rgb="FF8C7452"/>
      </patternFill>
    </fill>
    <fill>
      <patternFill patternType="solid">
        <fgColor rgb="FF8B7961"/>
        <bgColor rgb="FF8B7961"/>
      </patternFill>
    </fill>
    <fill>
      <patternFill patternType="solid">
        <fgColor rgb="FFC89E54"/>
        <bgColor rgb="FFC89E54"/>
      </patternFill>
    </fill>
    <fill>
      <patternFill patternType="solid">
        <fgColor rgb="FFCDBA76"/>
        <bgColor rgb="FFCDBA76"/>
      </patternFill>
    </fill>
    <fill>
      <patternFill patternType="solid">
        <fgColor rgb="FFCABE84"/>
        <bgColor rgb="FFCABE84"/>
      </patternFill>
    </fill>
    <fill>
      <patternFill patternType="solid">
        <fgColor rgb="FFF5F4DE"/>
        <bgColor rgb="FFF5F4DE"/>
      </patternFill>
    </fill>
    <fill>
      <patternFill patternType="solid">
        <fgColor rgb="FF354239"/>
        <bgColor rgb="FF354239"/>
      </patternFill>
    </fill>
    <fill>
      <patternFill patternType="solid">
        <fgColor rgb="FF475933"/>
        <bgColor rgb="FF475933"/>
      </patternFill>
    </fill>
    <fill>
      <patternFill patternType="solid">
        <fgColor rgb="FF746A4F"/>
        <bgColor rgb="FF746A4F"/>
      </patternFill>
    </fill>
    <fill>
      <patternFill patternType="solid">
        <fgColor rgb="FF9F694D"/>
        <bgColor rgb="FF9F694D"/>
      </patternFill>
    </fill>
    <fill>
      <patternFill patternType="solid">
        <fgColor rgb="FFD72F22"/>
        <bgColor rgb="FFD72F22"/>
      </patternFill>
    </fill>
    <fill>
      <patternFill patternType="solid">
        <fgColor rgb="FFE5955D"/>
        <bgColor rgb="FFE5955D"/>
      </patternFill>
    </fill>
    <fill>
      <patternFill patternType="solid">
        <fgColor rgb="FF29957E"/>
        <bgColor rgb="FF29957E"/>
      </patternFill>
    </fill>
    <fill>
      <patternFill patternType="solid">
        <fgColor rgb="FFF9DF28"/>
        <bgColor rgb="FFF9DF28"/>
      </patternFill>
    </fill>
    <fill>
      <patternFill patternType="solid">
        <fgColor rgb="FF8491A1"/>
        <bgColor rgb="FF8491A1"/>
      </patternFill>
    </fill>
    <fill>
      <patternFill patternType="solid">
        <fgColor rgb="FF414232"/>
        <bgColor rgb="FF414232"/>
      </patternFill>
    </fill>
    <fill>
      <patternFill patternType="solid">
        <fgColor rgb="FF8C5445"/>
        <bgColor rgb="FF8C5445"/>
      </patternFill>
    </fill>
    <fill>
      <patternFill patternType="solid">
        <fgColor rgb="FF4B3D3C"/>
        <bgColor rgb="FF4B3D3C"/>
      </patternFill>
    </fill>
    <fill>
      <patternFill patternType="solid">
        <fgColor rgb="FF6F879F"/>
        <bgColor rgb="FF6F879F"/>
      </patternFill>
    </fill>
    <fill>
      <patternFill patternType="solid">
        <fgColor rgb="FFD87D78"/>
        <bgColor rgb="FFD87D78"/>
      </patternFill>
    </fill>
    <fill>
      <patternFill patternType="solid">
        <fgColor rgb="FF9D3E39"/>
        <bgColor rgb="FF9D3E39"/>
      </patternFill>
    </fill>
    <fill>
      <patternFill patternType="solid">
        <fgColor rgb="FFBF1825"/>
        <bgColor rgb="FFBF1825"/>
      </patternFill>
    </fill>
    <fill>
      <patternFill patternType="solid">
        <fgColor rgb="FFFFE85B"/>
        <bgColor rgb="FFFFE85B"/>
      </patternFill>
    </fill>
    <fill>
      <patternFill patternType="solid">
        <fgColor rgb="FFD9532E"/>
        <bgColor rgb="FFD9532E"/>
      </patternFill>
    </fill>
    <fill>
      <patternFill patternType="solid">
        <fgColor rgb="FF853E38"/>
        <bgColor rgb="FF853E38"/>
      </patternFill>
    </fill>
    <fill>
      <patternFill patternType="solid">
        <fgColor rgb="FF844765"/>
        <bgColor rgb="FF844765"/>
      </patternFill>
    </fill>
    <fill>
      <patternFill patternType="solid">
        <fgColor rgb="FF22648B"/>
        <bgColor rgb="FF22648B"/>
      </patternFill>
    </fill>
    <fill>
      <patternFill patternType="solid">
        <fgColor rgb="FF005F80"/>
        <bgColor rgb="FF005F80"/>
      </patternFill>
    </fill>
    <fill>
      <patternFill patternType="solid">
        <fgColor rgb="FF43676D"/>
        <bgColor rgb="FF43676D"/>
      </patternFill>
    </fill>
    <fill>
      <patternFill patternType="solid">
        <fgColor rgb="FF008294"/>
        <bgColor rgb="FF008294"/>
      </patternFill>
    </fill>
    <fill>
      <patternFill patternType="solid">
        <fgColor rgb="FF32462B"/>
        <bgColor rgb="FF32462B"/>
      </patternFill>
    </fill>
    <fill>
      <patternFill patternType="solid">
        <fgColor rgb="FFB8CDBF"/>
        <bgColor rgb="FFB8CDBF"/>
      </patternFill>
    </fill>
    <fill>
      <patternFill patternType="solid">
        <fgColor rgb="FF647A78"/>
        <bgColor rgb="FF647A78"/>
      </patternFill>
    </fill>
    <fill>
      <patternFill patternType="solid">
        <fgColor rgb="FF9FB9B7"/>
        <bgColor rgb="FF9FB9B7"/>
      </patternFill>
    </fill>
    <fill>
      <patternFill patternType="solid">
        <fgColor rgb="FF65A97A"/>
        <bgColor rgb="FF65A97A"/>
      </patternFill>
    </fill>
    <fill>
      <patternFill patternType="solid">
        <fgColor rgb="FF3F5845"/>
        <bgColor rgb="FF3F5845"/>
      </patternFill>
    </fill>
    <fill>
      <patternFill patternType="solid">
        <fgColor rgb="FFB48F42"/>
        <bgColor rgb="FFB48F42"/>
      </patternFill>
    </fill>
    <fill>
      <patternFill patternType="solid">
        <fgColor rgb="FF2E3A30"/>
        <bgColor rgb="FF2E3A30"/>
      </patternFill>
    </fill>
    <fill>
      <patternFill patternType="solid">
        <fgColor rgb="FF855E31"/>
        <bgColor rgb="FF855E31"/>
      </patternFill>
    </fill>
    <fill>
      <patternFill patternType="solid">
        <fgColor rgb="FFC7CDB9"/>
        <bgColor rgb="FFC7CDB9"/>
      </patternFill>
    </fill>
    <fill>
      <patternFill patternType="solid">
        <fgColor rgb="FF999E7F"/>
        <bgColor rgb="FF999E7F"/>
      </patternFill>
    </fill>
    <fill>
      <patternFill patternType="solid">
        <fgColor rgb="FF9A925D"/>
        <bgColor rgb="FF9A925D"/>
      </patternFill>
    </fill>
    <fill>
      <patternFill patternType="solid">
        <fgColor rgb="FFBCBFB9"/>
        <bgColor rgb="FFBCBFB9"/>
      </patternFill>
    </fill>
    <fill>
      <patternFill patternType="solid">
        <fgColor rgb="FF74777C"/>
        <bgColor rgb="FF74777C"/>
      </patternFill>
    </fill>
    <fill>
      <patternFill patternType="solid">
        <fgColor rgb="FF807F76"/>
        <bgColor rgb="FF807F76"/>
      </patternFill>
    </fill>
    <fill>
      <patternFill patternType="solid">
        <fgColor rgb="FF657777"/>
        <bgColor rgb="FF657777"/>
      </patternFill>
    </fill>
    <fill>
      <patternFill patternType="solid">
        <fgColor rgb="FF243E3A"/>
        <bgColor rgb="FF243E3A"/>
      </patternFill>
    </fill>
    <fill>
      <patternFill patternType="solid">
        <fgColor rgb="FF3A4839"/>
        <bgColor rgb="FF3A4839"/>
      </patternFill>
    </fill>
    <fill>
      <patternFill patternType="solid">
        <fgColor rgb="FF94A07C"/>
        <bgColor rgb="FF94A07C"/>
      </patternFill>
    </fill>
    <fill>
      <patternFill patternType="solid">
        <fgColor rgb="FF3C4435"/>
        <bgColor rgb="FF3C4435"/>
      </patternFill>
    </fill>
    <fill>
      <patternFill patternType="solid">
        <fgColor rgb="FF34342A"/>
        <bgColor rgb="FF34342A"/>
      </patternFill>
    </fill>
    <fill>
      <patternFill patternType="solid">
        <fgColor rgb="FF435349"/>
        <bgColor rgb="FF435349"/>
      </patternFill>
    </fill>
    <fill>
      <patternFill patternType="solid">
        <fgColor rgb="FF373E36"/>
        <bgColor rgb="FF373E36"/>
      </patternFill>
    </fill>
    <fill>
      <patternFill patternType="solid">
        <fgColor rgb="FF524E2B"/>
        <bgColor rgb="FF524E2B"/>
      </patternFill>
    </fill>
    <fill>
      <patternFill patternType="solid">
        <fgColor rgb="FF605A40"/>
        <bgColor rgb="FF605A40"/>
      </patternFill>
    </fill>
    <fill>
      <patternFill patternType="solid">
        <fgColor rgb="FF8A805C"/>
        <bgColor rgb="FF8A805C"/>
      </patternFill>
    </fill>
    <fill>
      <patternFill patternType="solid">
        <fgColor rgb="FF48442B"/>
        <bgColor rgb="FF48442B"/>
      </patternFill>
    </fill>
    <fill>
      <patternFill patternType="solid">
        <fgColor rgb="FF7A6D4A"/>
        <bgColor rgb="FF7A6D4A"/>
      </patternFill>
    </fill>
    <fill>
      <patternFill patternType="solid">
        <fgColor rgb="FFA4763D"/>
        <bgColor rgb="FFA4763D"/>
      </patternFill>
    </fill>
    <fill>
      <patternFill patternType="solid">
        <fgColor rgb="FF5A483A"/>
        <bgColor rgb="FF5A483A"/>
      </patternFill>
    </fill>
    <fill>
      <patternFill patternType="solid">
        <fgColor rgb="FF392F26"/>
        <bgColor rgb="FF392F26"/>
      </patternFill>
    </fill>
    <fill>
      <patternFill patternType="solid">
        <fgColor rgb="FF27262B"/>
        <bgColor rgb="FF27262B"/>
      </patternFill>
    </fill>
    <fill>
      <patternFill patternType="solid">
        <fgColor rgb="FF4B4C46"/>
        <bgColor rgb="FF4B4C46"/>
      </patternFill>
    </fill>
    <fill>
      <patternFill patternType="solid">
        <fgColor rgb="FF5F6058"/>
        <bgColor rgb="FF5F6058"/>
      </patternFill>
    </fill>
    <fill>
      <patternFill patternType="solid">
        <fgColor rgb="FFA2A59C"/>
        <bgColor rgb="FFA2A59C"/>
      </patternFill>
    </fill>
    <fill>
      <patternFill patternType="solid">
        <fgColor rgb="FF747675"/>
        <bgColor rgb="FF747675"/>
      </patternFill>
    </fill>
    <fill>
      <patternFill patternType="solid">
        <fgColor rgb="FF636166"/>
        <bgColor rgb="FF636166"/>
      </patternFill>
    </fill>
    <fill>
      <patternFill patternType="solid">
        <fgColor rgb="FF685944"/>
        <bgColor rgb="FF685944"/>
      </patternFill>
    </fill>
    <fill>
      <patternFill patternType="solid">
        <fgColor rgb="FF87848D"/>
        <bgColor rgb="FF87848D"/>
      </patternFill>
    </fill>
    <fill>
      <patternFill patternType="solid">
        <fgColor rgb="FF3D4548"/>
        <bgColor rgb="FF3D4548"/>
      </patternFill>
    </fill>
    <fill>
      <patternFill patternType="solid">
        <fgColor rgb="FF353B3B"/>
        <bgColor rgb="FF353B3B"/>
      </patternFill>
    </fill>
    <fill>
      <patternFill patternType="solid">
        <fgColor rgb="FFDCDCD7"/>
        <bgColor rgb="FFDCDCD7"/>
      </patternFill>
    </fill>
    <fill>
      <patternFill patternType="solid">
        <fgColor rgb="FFECE8E2"/>
        <bgColor rgb="FFECE8E2"/>
      </patternFill>
    </fill>
    <fill>
      <patternFill patternType="solid">
        <fgColor rgb="FFE4DBCB"/>
        <bgColor rgb="FFE4DBCB"/>
      </patternFill>
    </fill>
    <fill>
      <patternFill patternType="solid">
        <fgColor rgb="FFD2CACA"/>
        <bgColor rgb="FFD2CACA"/>
      </patternFill>
    </fill>
    <fill>
      <patternFill patternType="solid">
        <fgColor rgb="FF874E2A"/>
        <bgColor rgb="FF874E2A"/>
      </patternFill>
    </fill>
    <fill>
      <patternFill patternType="solid">
        <fgColor rgb="FF6F1F26"/>
        <bgColor rgb="FF6F1F26"/>
      </patternFill>
    </fill>
    <fill>
      <patternFill patternType="solid">
        <fgColor rgb="FF141237"/>
        <bgColor rgb="FF141237"/>
      </patternFill>
    </fill>
    <fill>
      <patternFill patternType="solid">
        <fgColor rgb="FF07060C"/>
        <bgColor rgb="FF07060C"/>
      </patternFill>
    </fill>
    <fill>
      <patternFill patternType="solid">
        <fgColor rgb="FFFEE5B1"/>
        <bgColor rgb="FFFEE5B1"/>
      </patternFill>
    </fill>
    <fill>
      <patternFill patternType="solid">
        <fgColor rgb="FFF1E3BD"/>
        <bgColor rgb="FFF1E3BD"/>
      </patternFill>
    </fill>
    <fill>
      <patternFill patternType="solid">
        <fgColor rgb="FFFBCD87"/>
        <bgColor rgb="FFFBCD87"/>
      </patternFill>
    </fill>
    <fill>
      <patternFill patternType="solid">
        <fgColor rgb="FFC2812C"/>
        <bgColor rgb="FFC2812C"/>
      </patternFill>
    </fill>
    <fill>
      <patternFill patternType="solid">
        <fgColor rgb="FFBA7A50"/>
        <bgColor rgb="FFBA7A50"/>
      </patternFill>
    </fill>
    <fill>
      <patternFill patternType="solid">
        <fgColor rgb="FF76302D"/>
        <bgColor rgb="FF76302D"/>
      </patternFill>
    </fill>
    <fill>
      <patternFill patternType="solid">
        <fgColor rgb="FFE85937"/>
        <bgColor rgb="FFE85937"/>
      </patternFill>
    </fill>
    <fill>
      <patternFill patternType="solid">
        <fgColor rgb="FFE85B49"/>
        <bgColor rgb="FFE85B49"/>
      </patternFill>
    </fill>
    <fill>
      <patternFill patternType="solid">
        <fgColor rgb="FF6F1618"/>
        <bgColor rgb="FF6F1618"/>
      </patternFill>
    </fill>
    <fill>
      <patternFill patternType="solid">
        <fgColor rgb="FF004786"/>
        <bgColor rgb="FF004786"/>
      </patternFill>
    </fill>
    <fill>
      <patternFill patternType="solid">
        <fgColor rgb="FF0069AF"/>
        <bgColor rgb="FF0069AF"/>
      </patternFill>
    </fill>
    <fill>
      <patternFill patternType="solid">
        <fgColor rgb="FFD22A47"/>
        <bgColor rgb="FFD22A47"/>
      </patternFill>
    </fill>
    <fill>
      <patternFill patternType="solid">
        <fgColor rgb="FF4E6D5B"/>
        <bgColor rgb="FF4E6D5B"/>
      </patternFill>
    </fill>
    <fill>
      <patternFill patternType="solid">
        <fgColor rgb="FF863B21"/>
        <bgColor rgb="FF863B21"/>
      </patternFill>
    </fill>
    <fill>
      <patternFill patternType="solid">
        <fgColor rgb="FFF0E6B4"/>
        <bgColor rgb="FFF0E6B4"/>
      </patternFill>
    </fill>
    <fill>
      <patternFill patternType="solid">
        <fgColor rgb="FFEFDA63"/>
        <bgColor rgb="FFEFDA63"/>
      </patternFill>
    </fill>
    <fill>
      <patternFill patternType="solid">
        <fgColor rgb="FF919193"/>
        <bgColor rgb="FF919193"/>
      </patternFill>
    </fill>
    <fill>
      <patternFill patternType="solid">
        <fgColor rgb="FFDBB58B"/>
        <bgColor rgb="FFDBB58B"/>
      </patternFill>
    </fill>
    <fill>
      <patternFill patternType="solid">
        <fgColor rgb="FF657B7B"/>
        <bgColor rgb="FF657B7B"/>
      </patternFill>
    </fill>
    <fill>
      <patternFill patternType="solid">
        <fgColor rgb="FF708989"/>
        <bgColor rgb="FF708989"/>
      </patternFill>
    </fill>
    <fill>
      <patternFill patternType="solid">
        <fgColor rgb="FF43493C"/>
        <bgColor rgb="FF43493C"/>
      </patternFill>
    </fill>
    <fill>
      <patternFill patternType="solid">
        <fgColor rgb="FFCE8C42"/>
        <bgColor rgb="FFCE8C42"/>
      </patternFill>
    </fill>
    <fill>
      <patternFill patternType="solid">
        <fgColor rgb="FF365462"/>
        <bgColor rgb="FF365462"/>
      </patternFill>
    </fill>
  </fills>
  <borders count="1">
    <border/>
  </borders>
  <cellStyleXfs count="1">
    <xf borderId="0" fillId="0" fontId="0" numFmtId="0" applyAlignment="1" applyFont="1"/>
  </cellStyleXfs>
  <cellXfs count="28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horizontal="center" readingOrder="0" shrinkToFit="0" vertical="bottom" wrapText="1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horizontal="center" shrinkToFit="0" vertical="bottom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shrinkToFit="0" wrapText="1"/>
    </xf>
    <xf borderId="0" fillId="6" fontId="3" numFmtId="0" xfId="0" applyAlignment="1" applyFill="1" applyFont="1">
      <alignment readingOrder="0" shrinkToFit="0" wrapText="1"/>
    </xf>
    <xf borderId="0" fillId="7" fontId="2" numFmtId="0" xfId="0" applyAlignment="1" applyFill="1" applyFont="1">
      <alignment readingOrder="0" shrinkToFit="0" wrapText="1"/>
    </xf>
    <xf borderId="0" fillId="8" fontId="2" numFmtId="0" xfId="0" applyAlignment="1" applyFill="1" applyFont="1">
      <alignment readingOrder="0" shrinkToFit="0" wrapText="1"/>
    </xf>
    <xf borderId="0" fillId="8" fontId="2" numFmtId="0" xfId="0" applyAlignment="1" applyFont="1">
      <alignment shrinkToFit="0" wrapText="1"/>
    </xf>
    <xf borderId="0" fillId="9" fontId="2" numFmtId="0" xfId="0" applyAlignment="1" applyFill="1" applyFont="1">
      <alignment readingOrder="0" shrinkToFit="0" wrapText="1"/>
    </xf>
    <xf borderId="0" fillId="10" fontId="2" numFmtId="0" xfId="0" applyAlignment="1" applyFill="1" applyFont="1">
      <alignment readingOrder="0" shrinkToFit="0" wrapText="1"/>
    </xf>
    <xf borderId="0" fillId="11" fontId="2" numFmtId="0" xfId="0" applyAlignment="1" applyFill="1" applyFont="1">
      <alignment readingOrder="0" shrinkToFit="0" wrapText="1"/>
    </xf>
    <xf borderId="0" fillId="12" fontId="2" numFmtId="0" xfId="0" applyAlignment="1" applyFill="1" applyFont="1">
      <alignment readingOrder="0" shrinkToFit="0" wrapText="1"/>
    </xf>
    <xf borderId="0" fillId="13" fontId="2" numFmtId="0" xfId="0" applyAlignment="1" applyFill="1" applyFont="1">
      <alignment readingOrder="0" shrinkToFit="0" wrapText="1"/>
    </xf>
    <xf borderId="0" fillId="13" fontId="2" numFmtId="0" xfId="0" applyAlignment="1" applyFont="1">
      <alignment shrinkToFit="0" wrapText="1"/>
    </xf>
    <xf borderId="0" fillId="14" fontId="2" numFmtId="0" xfId="0" applyAlignment="1" applyFill="1" applyFont="1">
      <alignment readingOrder="0" shrinkToFit="0" wrapText="1"/>
    </xf>
    <xf borderId="0" fillId="15" fontId="2" numFmtId="0" xfId="0" applyAlignment="1" applyFill="1" applyFont="1">
      <alignment readingOrder="0" shrinkToFit="0" wrapText="1"/>
    </xf>
    <xf borderId="0" fillId="16" fontId="2" numFmtId="0" xfId="0" applyAlignment="1" applyFill="1" applyFont="1">
      <alignment readingOrder="0" shrinkToFit="0" wrapText="1"/>
    </xf>
    <xf borderId="0" fillId="17" fontId="2" numFmtId="0" xfId="0" applyAlignment="1" applyFill="1" applyFont="1">
      <alignment readingOrder="0" shrinkToFit="0" wrapText="1"/>
    </xf>
    <xf borderId="0" fillId="18" fontId="2" numFmtId="0" xfId="0" applyAlignment="1" applyFill="1" applyFont="1">
      <alignment readingOrder="0" shrinkToFit="0" wrapText="1"/>
    </xf>
    <xf borderId="0" fillId="19" fontId="2" numFmtId="0" xfId="0" applyAlignment="1" applyFill="1" applyFont="1">
      <alignment readingOrder="0" shrinkToFit="0" wrapText="1"/>
    </xf>
    <xf borderId="0" fillId="20" fontId="2" numFmtId="0" xfId="0" applyAlignment="1" applyFill="1" applyFont="1">
      <alignment readingOrder="0" shrinkToFit="0" wrapText="1"/>
    </xf>
    <xf borderId="0" fillId="21" fontId="2" numFmtId="0" xfId="0" applyAlignment="1" applyFill="1" applyFont="1">
      <alignment readingOrder="0" shrinkToFit="0" wrapText="1"/>
    </xf>
    <xf borderId="0" fillId="22" fontId="2" numFmtId="0" xfId="0" applyAlignment="1" applyFill="1" applyFont="1">
      <alignment readingOrder="0" shrinkToFit="0" wrapText="1"/>
    </xf>
    <xf borderId="0" fillId="23" fontId="2" numFmtId="0" xfId="0" applyAlignment="1" applyFill="1" applyFont="1">
      <alignment shrinkToFit="0" wrapText="1"/>
    </xf>
    <xf borderId="0" fillId="24" fontId="2" numFmtId="0" xfId="0" applyAlignment="1" applyFill="1" applyFont="1">
      <alignment readingOrder="0" shrinkToFit="0" wrapText="1"/>
    </xf>
    <xf borderId="0" fillId="25" fontId="2" numFmtId="0" xfId="0" applyAlignment="1" applyFill="1" applyFont="1">
      <alignment readingOrder="0" shrinkToFit="0" wrapText="1"/>
    </xf>
    <xf borderId="0" fillId="26" fontId="2" numFmtId="0" xfId="0" applyAlignment="1" applyFill="1" applyFont="1">
      <alignment readingOrder="0" shrinkToFit="0" wrapText="1"/>
    </xf>
    <xf borderId="0" fillId="27" fontId="2" numFmtId="0" xfId="0" applyAlignment="1" applyFill="1" applyFont="1">
      <alignment readingOrder="0" shrinkToFit="0" wrapText="1"/>
    </xf>
    <xf borderId="0" fillId="28" fontId="2" numFmtId="0" xfId="0" applyAlignment="1" applyFill="1" applyFont="1">
      <alignment readingOrder="0" shrinkToFit="0" wrapText="1"/>
    </xf>
    <xf borderId="0" fillId="29" fontId="2" numFmtId="0" xfId="0" applyAlignment="1" applyFill="1" applyFont="1">
      <alignment readingOrder="0" shrinkToFit="0" wrapText="1"/>
    </xf>
    <xf borderId="0" fillId="30" fontId="2" numFmtId="0" xfId="0" applyAlignment="1" applyFill="1" applyFont="1">
      <alignment readingOrder="0" shrinkToFit="0" wrapText="1"/>
    </xf>
    <xf borderId="0" fillId="31" fontId="2" numFmtId="0" xfId="0" applyAlignment="1" applyFill="1" applyFont="1">
      <alignment readingOrder="0" shrinkToFit="0" wrapText="1"/>
    </xf>
    <xf borderId="0" fillId="32" fontId="2" numFmtId="0" xfId="0" applyAlignment="1" applyFill="1" applyFont="1">
      <alignment readingOrder="0" shrinkToFit="0" wrapText="1"/>
    </xf>
    <xf borderId="0" fillId="33" fontId="2" numFmtId="0" xfId="0" applyAlignment="1" applyFill="1" applyFont="1">
      <alignment readingOrder="0" shrinkToFit="0" wrapText="1"/>
    </xf>
    <xf borderId="0" fillId="34" fontId="2" numFmtId="0" xfId="0" applyAlignment="1" applyFill="1" applyFont="1">
      <alignment readingOrder="0" shrinkToFit="0" wrapText="1"/>
    </xf>
    <xf borderId="0" fillId="35" fontId="2" numFmtId="0" xfId="0" applyAlignment="1" applyFill="1" applyFont="1">
      <alignment readingOrder="0" shrinkToFit="0" wrapText="1"/>
    </xf>
    <xf borderId="0" fillId="36" fontId="2" numFmtId="0" xfId="0" applyAlignment="1" applyFill="1" applyFont="1">
      <alignment readingOrder="0" shrinkToFit="0" wrapText="1"/>
    </xf>
    <xf borderId="0" fillId="37" fontId="2" numFmtId="0" xfId="0" applyAlignment="1" applyFill="1" applyFont="1">
      <alignment readingOrder="0" shrinkToFit="0" wrapText="1"/>
    </xf>
    <xf borderId="0" fillId="38" fontId="2" numFmtId="0" xfId="0" applyAlignment="1" applyFill="1" applyFont="1">
      <alignment readingOrder="0" shrinkToFit="0" wrapText="1"/>
    </xf>
    <xf borderId="0" fillId="39" fontId="2" numFmtId="0" xfId="0" applyAlignment="1" applyFill="1" applyFont="1">
      <alignment readingOrder="0" shrinkToFit="0" wrapText="1"/>
    </xf>
    <xf borderId="0" fillId="40" fontId="2" numFmtId="0" xfId="0" applyAlignment="1" applyFill="1" applyFont="1">
      <alignment readingOrder="0" shrinkToFit="0" wrapText="1"/>
    </xf>
    <xf borderId="0" fillId="41" fontId="2" numFmtId="0" xfId="0" applyAlignment="1" applyFill="1" applyFont="1">
      <alignment readingOrder="0" shrinkToFit="0" wrapText="1"/>
    </xf>
    <xf borderId="0" fillId="42" fontId="2" numFmtId="0" xfId="0" applyAlignment="1" applyFill="1" applyFont="1">
      <alignment readingOrder="0" shrinkToFit="0" wrapText="1"/>
    </xf>
    <xf borderId="0" fillId="43" fontId="2" numFmtId="0" xfId="0" applyAlignment="1" applyFill="1" applyFont="1">
      <alignment readingOrder="0" shrinkToFit="0" wrapText="1"/>
    </xf>
    <xf borderId="0" fillId="44" fontId="2" numFmtId="0" xfId="0" applyAlignment="1" applyFill="1" applyFont="1">
      <alignment readingOrder="0" shrinkToFit="0" wrapText="1"/>
    </xf>
    <xf borderId="0" fillId="45" fontId="2" numFmtId="0" xfId="0" applyAlignment="1" applyFill="1" applyFont="1">
      <alignment readingOrder="0" shrinkToFit="0" wrapText="1"/>
    </xf>
    <xf borderId="0" fillId="0" fontId="2" numFmtId="49" xfId="0" applyAlignment="1" applyFont="1" applyNumberFormat="1">
      <alignment shrinkToFit="0" wrapText="1"/>
    </xf>
    <xf borderId="0" fillId="44" fontId="2" numFmtId="0" xfId="0" applyAlignment="1" applyFont="1">
      <alignment shrinkToFit="0" wrapText="1"/>
    </xf>
    <xf borderId="0" fillId="46" fontId="2" numFmtId="0" xfId="0" applyAlignment="1" applyFill="1" applyFont="1">
      <alignment readingOrder="0" shrinkToFit="0" wrapText="1"/>
    </xf>
    <xf borderId="0" fillId="47" fontId="2" numFmtId="0" xfId="0" applyAlignment="1" applyFill="1" applyFont="1">
      <alignment readingOrder="0" shrinkToFit="0" wrapText="1"/>
    </xf>
    <xf borderId="0" fillId="48" fontId="2" numFmtId="0" xfId="0" applyAlignment="1" applyFill="1" applyFont="1">
      <alignment readingOrder="0" shrinkToFit="0" wrapText="1"/>
    </xf>
    <xf borderId="0" fillId="49" fontId="2" numFmtId="0" xfId="0" applyAlignment="1" applyFill="1" applyFont="1">
      <alignment readingOrder="0" shrinkToFit="0" wrapText="1"/>
    </xf>
    <xf borderId="0" fillId="50" fontId="2" numFmtId="0" xfId="0" applyAlignment="1" applyFill="1" applyFont="1">
      <alignment readingOrder="0" shrinkToFit="0" wrapText="1"/>
    </xf>
    <xf borderId="0" fillId="51" fontId="2" numFmtId="0" xfId="0" applyAlignment="1" applyFill="1" applyFont="1">
      <alignment readingOrder="0" shrinkToFit="0" wrapText="1"/>
    </xf>
    <xf borderId="0" fillId="52" fontId="4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49" xfId="0" applyAlignment="1" applyFont="1" applyNumberFormat="1">
      <alignment horizontal="center" readingOrder="0" shrinkToFit="0" vertical="bottom" wrapText="1"/>
    </xf>
    <xf borderId="0" fillId="0" fontId="4" numFmtId="49" xfId="0" applyAlignment="1" applyFont="1" applyNumberFormat="1">
      <alignment horizontal="center" shrinkToFit="0" vertical="bottom" wrapText="1"/>
    </xf>
    <xf borderId="0" fillId="0" fontId="4" numFmtId="49" xfId="0" applyAlignment="1" applyFont="1" applyNumberFormat="1">
      <alignment readingOrder="0" shrinkToFit="0" wrapText="1"/>
    </xf>
    <xf borderId="0" fillId="53" fontId="2" numFmtId="0" xfId="0" applyAlignment="1" applyFill="1" applyFont="1">
      <alignment readingOrder="0" shrinkToFit="0" wrapText="1"/>
    </xf>
    <xf borderId="0" fillId="54" fontId="2" numFmtId="0" xfId="0" applyAlignment="1" applyFill="1" applyFont="1">
      <alignment readingOrder="0" shrinkToFit="0" wrapText="1"/>
    </xf>
    <xf borderId="0" fillId="55" fontId="2" numFmtId="0" xfId="0" applyAlignment="1" applyFill="1" applyFont="1">
      <alignment readingOrder="0" shrinkToFit="0" wrapText="1"/>
    </xf>
    <xf borderId="0" fillId="56" fontId="2" numFmtId="0" xfId="0" applyAlignment="1" applyFill="1" applyFont="1">
      <alignment readingOrder="0" shrinkToFit="0" wrapText="1"/>
    </xf>
    <xf borderId="0" fillId="57" fontId="2" numFmtId="0" xfId="0" applyAlignment="1" applyFill="1" applyFont="1">
      <alignment readingOrder="0" shrinkToFit="0" wrapText="1"/>
    </xf>
    <xf borderId="0" fillId="58" fontId="2" numFmtId="0" xfId="0" applyAlignment="1" applyFill="1" applyFont="1">
      <alignment readingOrder="0" shrinkToFit="0" wrapText="1"/>
    </xf>
    <xf borderId="0" fillId="59" fontId="2" numFmtId="0" xfId="0" applyAlignment="1" applyFill="1" applyFont="1">
      <alignment readingOrder="0" shrinkToFit="0" wrapText="1"/>
    </xf>
    <xf borderId="0" fillId="60" fontId="2" numFmtId="0" xfId="0" applyAlignment="1" applyFill="1" applyFont="1">
      <alignment readingOrder="0" shrinkToFit="0" wrapText="1"/>
    </xf>
    <xf borderId="0" fillId="61" fontId="2" numFmtId="0" xfId="0" applyAlignment="1" applyFill="1" applyFont="1">
      <alignment readingOrder="0" shrinkToFit="0" wrapText="1"/>
    </xf>
    <xf borderId="0" fillId="62" fontId="2" numFmtId="0" xfId="0" applyAlignment="1" applyFill="1" applyFont="1">
      <alignment readingOrder="0" shrinkToFit="0" wrapText="1"/>
    </xf>
    <xf borderId="0" fillId="63" fontId="2" numFmtId="0" xfId="0" applyAlignment="1" applyFill="1" applyFont="1">
      <alignment readingOrder="0" shrinkToFit="0" wrapText="1"/>
    </xf>
    <xf borderId="0" fillId="64" fontId="2" numFmtId="0" xfId="0" applyAlignment="1" applyFill="1" applyFont="1">
      <alignment readingOrder="0" shrinkToFit="0" wrapText="1"/>
    </xf>
    <xf borderId="0" fillId="65" fontId="2" numFmtId="0" xfId="0" applyAlignment="1" applyFill="1" applyFont="1">
      <alignment readingOrder="0" shrinkToFit="0" wrapText="1"/>
    </xf>
    <xf borderId="0" fillId="66" fontId="2" numFmtId="0" xfId="0" applyAlignment="1" applyFill="1" applyFont="1">
      <alignment readingOrder="0" shrinkToFit="0" wrapText="1"/>
    </xf>
    <xf borderId="0" fillId="67" fontId="2" numFmtId="0" xfId="0" applyAlignment="1" applyFill="1" applyFont="1">
      <alignment readingOrder="0" shrinkToFit="0" wrapText="1"/>
    </xf>
    <xf borderId="0" fillId="68" fontId="2" numFmtId="0" xfId="0" applyAlignment="1" applyFill="1" applyFont="1">
      <alignment readingOrder="0" shrinkToFit="0" wrapText="1"/>
    </xf>
    <xf borderId="0" fillId="14" fontId="2" numFmtId="0" xfId="0" applyAlignment="1" applyFont="1">
      <alignment shrinkToFit="0" wrapText="1"/>
    </xf>
    <xf borderId="0" fillId="69" fontId="2" numFmtId="0" xfId="0" applyAlignment="1" applyFill="1" applyFont="1">
      <alignment readingOrder="0" shrinkToFit="0" wrapText="1"/>
    </xf>
    <xf borderId="0" fillId="70" fontId="2" numFmtId="0" xfId="0" applyAlignment="1" applyFill="1" applyFont="1">
      <alignment readingOrder="0" shrinkToFit="0" wrapText="1"/>
    </xf>
    <xf borderId="0" fillId="71" fontId="2" numFmtId="0" xfId="0" applyAlignment="1" applyFill="1" applyFont="1">
      <alignment readingOrder="0" shrinkToFit="0" wrapText="1"/>
    </xf>
    <xf borderId="0" fillId="72" fontId="2" numFmtId="0" xfId="0" applyAlignment="1" applyFill="1" applyFont="1">
      <alignment readingOrder="0" shrinkToFit="0" wrapText="1"/>
    </xf>
    <xf borderId="0" fillId="73" fontId="2" numFmtId="0" xfId="0" applyAlignment="1" applyFill="1" applyFont="1">
      <alignment readingOrder="0" shrinkToFit="0" wrapText="1"/>
    </xf>
    <xf borderId="0" fillId="74" fontId="2" numFmtId="0" xfId="0" applyAlignment="1" applyFill="1" applyFont="1">
      <alignment readingOrder="0" shrinkToFit="0" wrapText="1"/>
    </xf>
    <xf borderId="0" fillId="75" fontId="2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76" fontId="2" numFmtId="0" xfId="0" applyAlignment="1" applyFill="1" applyFont="1">
      <alignment readingOrder="0" shrinkToFit="0" wrapText="1"/>
    </xf>
    <xf borderId="0" fillId="77" fontId="2" numFmtId="0" xfId="0" applyAlignment="1" applyFill="1" applyFont="1">
      <alignment readingOrder="0" shrinkToFit="0" wrapText="1"/>
    </xf>
    <xf borderId="0" fillId="78" fontId="2" numFmtId="0" xfId="0" applyAlignment="1" applyFill="1" applyFont="1">
      <alignment readingOrder="0" shrinkToFit="0" wrapText="1"/>
    </xf>
    <xf quotePrefix="1" borderId="0" fillId="0" fontId="2" numFmtId="49" xfId="0" applyAlignment="1" applyFont="1" applyNumberFormat="1">
      <alignment readingOrder="0" shrinkToFit="0" wrapText="1"/>
    </xf>
    <xf borderId="0" fillId="40" fontId="2" numFmtId="0" xfId="0" applyAlignment="1" applyFont="1">
      <alignment shrinkToFit="0" wrapText="1"/>
    </xf>
    <xf borderId="0" fillId="79" fontId="2" numFmtId="0" xfId="0" applyAlignment="1" applyFill="1" applyFont="1">
      <alignment readingOrder="0" shrinkToFit="0" wrapText="1"/>
    </xf>
    <xf borderId="0" fillId="80" fontId="2" numFmtId="0" xfId="0" applyAlignment="1" applyFill="1" applyFont="1">
      <alignment readingOrder="0" shrinkToFit="0" wrapText="1"/>
    </xf>
    <xf quotePrefix="1" borderId="0" fillId="0" fontId="2" numFmtId="0" xfId="0" applyAlignment="1" applyFont="1">
      <alignment readingOrder="0" shrinkToFit="0" wrapText="1"/>
    </xf>
    <xf quotePrefix="1" borderId="0" fillId="0" fontId="2" numFmtId="49" xfId="0" applyAlignment="1" applyFont="1" applyNumberFormat="1">
      <alignment horizontal="center" readingOrder="0" shrinkToFit="0" vertical="bottom" wrapText="1"/>
    </xf>
    <xf borderId="0" fillId="81" fontId="2" numFmtId="0" xfId="0" applyAlignment="1" applyFill="1" applyFont="1">
      <alignment readingOrder="0" shrinkToFit="0" wrapText="1"/>
    </xf>
    <xf borderId="0" fillId="82" fontId="2" numFmtId="0" xfId="0" applyAlignment="1" applyFill="1" applyFont="1">
      <alignment readingOrder="0" shrinkToFit="0" wrapText="1"/>
    </xf>
    <xf borderId="0" fillId="83" fontId="2" numFmtId="0" xfId="0" applyAlignment="1" applyFill="1" applyFont="1">
      <alignment shrinkToFit="0" wrapText="1"/>
    </xf>
    <xf borderId="0" fillId="84" fontId="2" numFmtId="0" xfId="0" applyAlignment="1" applyFill="1" applyFont="1">
      <alignment shrinkToFit="0" wrapText="1"/>
    </xf>
    <xf borderId="0" fillId="85" fontId="2" numFmtId="0" xfId="0" applyAlignment="1" applyFill="1" applyFont="1">
      <alignment shrinkToFit="0" wrapText="1"/>
    </xf>
    <xf borderId="0" fillId="86" fontId="2" numFmtId="0" xfId="0" applyAlignment="1" applyFill="1" applyFont="1">
      <alignment shrinkToFit="0" wrapText="1"/>
    </xf>
    <xf borderId="0" fillId="87" fontId="2" numFmtId="0" xfId="0" applyAlignment="1" applyFill="1" applyFont="1">
      <alignment shrinkToFit="0" wrapText="1"/>
    </xf>
    <xf borderId="0" fillId="88" fontId="2" numFmtId="0" xfId="0" applyAlignment="1" applyFill="1" applyFont="1">
      <alignment shrinkToFit="0" wrapText="1"/>
    </xf>
    <xf borderId="0" fillId="89" fontId="2" numFmtId="0" xfId="0" applyAlignment="1" applyFill="1" applyFont="1">
      <alignment shrinkToFit="0" wrapText="1"/>
    </xf>
    <xf borderId="0" fillId="90" fontId="2" numFmtId="0" xfId="0" applyAlignment="1" applyFill="1" applyFont="1">
      <alignment shrinkToFit="0" wrapText="1"/>
    </xf>
    <xf borderId="0" fillId="91" fontId="2" numFmtId="0" xfId="0" applyAlignment="1" applyFill="1" applyFont="1">
      <alignment shrinkToFit="0" wrapText="1"/>
    </xf>
    <xf borderId="0" fillId="92" fontId="2" numFmtId="0" xfId="0" applyAlignment="1" applyFill="1" applyFont="1">
      <alignment shrinkToFit="0" wrapText="1"/>
    </xf>
    <xf borderId="0" fillId="93" fontId="2" numFmtId="0" xfId="0" applyAlignment="1" applyFill="1" applyFont="1">
      <alignment shrinkToFit="0" wrapText="1"/>
    </xf>
    <xf borderId="0" fillId="94" fontId="2" numFmtId="0" xfId="0" applyAlignment="1" applyFill="1" applyFont="1">
      <alignment shrinkToFit="0" wrapText="1"/>
    </xf>
    <xf borderId="0" fillId="95" fontId="2" numFmtId="0" xfId="0" applyAlignment="1" applyFill="1" applyFont="1">
      <alignment shrinkToFit="0" wrapText="1"/>
    </xf>
    <xf borderId="0" fillId="96" fontId="2" numFmtId="0" xfId="0" applyAlignment="1" applyFill="1" applyFont="1">
      <alignment shrinkToFit="0" wrapText="1"/>
    </xf>
    <xf borderId="0" fillId="97" fontId="2" numFmtId="0" xfId="0" applyAlignment="1" applyFill="1" applyFont="1">
      <alignment shrinkToFit="0" wrapText="1"/>
    </xf>
    <xf borderId="0" fillId="98" fontId="2" numFmtId="0" xfId="0" applyAlignment="1" applyFill="1" applyFont="1">
      <alignment shrinkToFit="0" wrapText="1"/>
    </xf>
    <xf borderId="0" fillId="99" fontId="2" numFmtId="0" xfId="0" applyAlignment="1" applyFill="1" applyFont="1">
      <alignment shrinkToFit="0" wrapText="1"/>
    </xf>
    <xf borderId="0" fillId="100" fontId="2" numFmtId="0" xfId="0" applyAlignment="1" applyFill="1" applyFont="1">
      <alignment shrinkToFit="0" wrapText="1"/>
    </xf>
    <xf borderId="0" fillId="101" fontId="2" numFmtId="0" xfId="0" applyAlignment="1" applyFill="1" applyFont="1">
      <alignment shrinkToFit="0" wrapText="1"/>
    </xf>
    <xf borderId="0" fillId="102" fontId="2" numFmtId="0" xfId="0" applyAlignment="1" applyFill="1" applyFont="1">
      <alignment shrinkToFit="0" wrapText="1"/>
    </xf>
    <xf borderId="0" fillId="103" fontId="2" numFmtId="0" xfId="0" applyAlignment="1" applyFill="1" applyFont="1">
      <alignment shrinkToFit="0" wrapText="1"/>
    </xf>
    <xf borderId="0" fillId="104" fontId="2" numFmtId="0" xfId="0" applyAlignment="1" applyFill="1" applyFont="1">
      <alignment shrinkToFit="0" wrapText="1"/>
    </xf>
    <xf borderId="0" fillId="105" fontId="2" numFmtId="0" xfId="0" applyAlignment="1" applyFill="1" applyFont="1">
      <alignment shrinkToFit="0" wrapText="1"/>
    </xf>
    <xf borderId="0" fillId="106" fontId="2" numFmtId="0" xfId="0" applyAlignment="1" applyFill="1" applyFont="1">
      <alignment shrinkToFit="0" wrapText="1"/>
    </xf>
    <xf borderId="0" fillId="107" fontId="2" numFmtId="0" xfId="0" applyAlignment="1" applyFill="1" applyFont="1">
      <alignment shrinkToFit="0" wrapText="1"/>
    </xf>
    <xf borderId="0" fillId="108" fontId="2" numFmtId="0" xfId="0" applyAlignment="1" applyFill="1" applyFont="1">
      <alignment shrinkToFit="0" wrapText="1"/>
    </xf>
    <xf borderId="0" fillId="109" fontId="2" numFmtId="0" xfId="0" applyAlignment="1" applyFill="1" applyFont="1">
      <alignment shrinkToFit="0" wrapText="1"/>
    </xf>
    <xf borderId="0" fillId="110" fontId="2" numFmtId="0" xfId="0" applyAlignment="1" applyFill="1" applyFont="1">
      <alignment shrinkToFit="0" wrapText="1"/>
    </xf>
    <xf borderId="0" fillId="111" fontId="2" numFmtId="0" xfId="0" applyAlignment="1" applyFill="1" applyFont="1">
      <alignment shrinkToFit="0" wrapText="1"/>
    </xf>
    <xf borderId="0" fillId="112" fontId="2" numFmtId="0" xfId="0" applyAlignment="1" applyFill="1" applyFont="1">
      <alignment shrinkToFit="0" wrapText="1"/>
    </xf>
    <xf borderId="0" fillId="113" fontId="2" numFmtId="0" xfId="0" applyAlignment="1" applyFill="1" applyFont="1">
      <alignment shrinkToFit="0" wrapText="1"/>
    </xf>
    <xf borderId="0" fillId="114" fontId="2" numFmtId="0" xfId="0" applyAlignment="1" applyFill="1" applyFont="1">
      <alignment shrinkToFit="0" wrapText="1"/>
    </xf>
    <xf borderId="0" fillId="115" fontId="2" numFmtId="0" xfId="0" applyAlignment="1" applyFill="1" applyFont="1">
      <alignment shrinkToFit="0" wrapText="1"/>
    </xf>
    <xf borderId="0" fillId="116" fontId="2" numFmtId="0" xfId="0" applyAlignment="1" applyFill="1" applyFont="1">
      <alignment shrinkToFit="0" wrapText="1"/>
    </xf>
    <xf borderId="0" fillId="65" fontId="2" numFmtId="0" xfId="0" applyAlignment="1" applyFont="1">
      <alignment shrinkToFit="0" wrapText="1"/>
    </xf>
    <xf borderId="0" fillId="117" fontId="2" numFmtId="0" xfId="0" applyAlignment="1" applyFill="1" applyFont="1">
      <alignment shrinkToFit="0" wrapText="1"/>
    </xf>
    <xf borderId="0" fillId="118" fontId="2" numFmtId="0" xfId="0" applyAlignment="1" applyFill="1" applyFont="1">
      <alignment shrinkToFit="0" wrapText="1"/>
    </xf>
    <xf borderId="0" fillId="119" fontId="2" numFmtId="0" xfId="0" applyAlignment="1" applyFill="1" applyFont="1">
      <alignment shrinkToFit="0" wrapText="1"/>
    </xf>
    <xf borderId="0" fillId="120" fontId="2" numFmtId="0" xfId="0" applyAlignment="1" applyFill="1" applyFont="1">
      <alignment shrinkToFit="0" wrapText="1"/>
    </xf>
    <xf borderId="0" fillId="121" fontId="2" numFmtId="0" xfId="0" applyAlignment="1" applyFill="1" applyFont="1">
      <alignment shrinkToFit="0" wrapText="1"/>
    </xf>
    <xf borderId="0" fillId="122" fontId="2" numFmtId="0" xfId="0" applyAlignment="1" applyFill="1" applyFont="1">
      <alignment shrinkToFit="0" wrapText="1"/>
    </xf>
    <xf borderId="0" fillId="123" fontId="2" numFmtId="0" xfId="0" applyAlignment="1" applyFill="1" applyFont="1">
      <alignment shrinkToFit="0" wrapText="1"/>
    </xf>
    <xf borderId="0" fillId="124" fontId="2" numFmtId="0" xfId="0" applyAlignment="1" applyFill="1" applyFont="1">
      <alignment shrinkToFit="0" wrapText="1"/>
    </xf>
    <xf borderId="0" fillId="125" fontId="2" numFmtId="0" xfId="0" applyAlignment="1" applyFill="1" applyFont="1">
      <alignment shrinkToFit="0" wrapText="1"/>
    </xf>
    <xf borderId="0" fillId="126" fontId="2" numFmtId="0" xfId="0" applyAlignment="1" applyFill="1" applyFont="1">
      <alignment shrinkToFit="0" wrapText="1"/>
    </xf>
    <xf borderId="0" fillId="127" fontId="2" numFmtId="0" xfId="0" applyAlignment="1" applyFill="1" applyFont="1">
      <alignment shrinkToFit="0" wrapText="1"/>
    </xf>
    <xf borderId="0" fillId="128" fontId="2" numFmtId="0" xfId="0" applyAlignment="1" applyFill="1" applyFont="1">
      <alignment shrinkToFit="0" wrapText="1"/>
    </xf>
    <xf borderId="0" fillId="129" fontId="2" numFmtId="0" xfId="0" applyAlignment="1" applyFill="1" applyFont="1">
      <alignment shrinkToFit="0" wrapText="1"/>
    </xf>
    <xf borderId="0" fillId="130" fontId="2" numFmtId="0" xfId="0" applyAlignment="1" applyFill="1" applyFont="1">
      <alignment shrinkToFit="0" wrapText="1"/>
    </xf>
    <xf borderId="0" fillId="131" fontId="2" numFmtId="0" xfId="0" applyAlignment="1" applyFill="1" applyFont="1">
      <alignment shrinkToFit="0" wrapText="1"/>
    </xf>
    <xf quotePrefix="1"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132" fontId="2" numFmtId="0" xfId="0" applyAlignment="1" applyFill="1" applyFont="1">
      <alignment shrinkToFit="0" wrapText="1"/>
    </xf>
    <xf quotePrefix="1" borderId="0" fillId="0" fontId="4" numFmtId="0" xfId="0" applyAlignment="1" applyFont="1">
      <alignment horizontal="center" readingOrder="0" shrinkToFit="0" vertical="bottom" wrapText="1"/>
    </xf>
    <xf borderId="0" fillId="133" fontId="2" numFmtId="0" xfId="0" applyAlignment="1" applyFill="1" applyFont="1">
      <alignment shrinkToFit="0" wrapText="1"/>
    </xf>
    <xf borderId="0" fillId="0" fontId="2" numFmtId="0" xfId="0" applyAlignment="1" applyFont="1">
      <alignment horizontal="center" readingOrder="0" shrinkToFit="0" vertical="bottom" wrapText="1"/>
    </xf>
    <xf borderId="0" fillId="134" fontId="2" numFmtId="0" xfId="0" applyAlignment="1" applyFill="1" applyFont="1">
      <alignment shrinkToFit="0" wrapText="1"/>
    </xf>
    <xf borderId="0" fillId="135" fontId="2" numFmtId="0" xfId="0" applyAlignment="1" applyFill="1" applyFont="1">
      <alignment shrinkToFit="0" wrapText="1"/>
    </xf>
    <xf borderId="0" fillId="136" fontId="2" numFmtId="0" xfId="0" applyAlignment="1" applyFill="1" applyFont="1">
      <alignment shrinkToFit="0" wrapText="1"/>
    </xf>
    <xf borderId="0" fillId="137" fontId="2" numFmtId="0" xfId="0" applyAlignment="1" applyFill="1" applyFont="1">
      <alignment shrinkToFit="0" wrapText="1"/>
    </xf>
    <xf borderId="0" fillId="138" fontId="2" numFmtId="0" xfId="0" applyAlignment="1" applyFill="1" applyFont="1">
      <alignment shrinkToFit="0" wrapText="1"/>
    </xf>
    <xf borderId="0" fillId="139" fontId="2" numFmtId="0" xfId="0" applyAlignment="1" applyFill="1" applyFont="1">
      <alignment shrinkToFit="0" wrapText="1"/>
    </xf>
    <xf borderId="0" fillId="140" fontId="2" numFmtId="0" xfId="0" applyAlignment="1" applyFill="1" applyFont="1">
      <alignment shrinkToFit="0" wrapText="1"/>
    </xf>
    <xf borderId="0" fillId="141" fontId="2" numFmtId="0" xfId="0" applyAlignment="1" applyFill="1" applyFont="1">
      <alignment shrinkToFit="0" wrapText="1"/>
    </xf>
    <xf borderId="0" fillId="142" fontId="2" numFmtId="0" xfId="0" applyAlignment="1" applyFill="1" applyFont="1">
      <alignment shrinkToFit="0" wrapText="1"/>
    </xf>
    <xf borderId="0" fillId="143" fontId="2" numFmtId="0" xfId="0" applyAlignment="1" applyFill="1" applyFont="1">
      <alignment shrinkToFit="0" wrapText="1"/>
    </xf>
    <xf borderId="0" fillId="144" fontId="2" numFmtId="0" xfId="0" applyAlignment="1" applyFill="1" applyFont="1">
      <alignment shrinkToFit="0" wrapText="1"/>
    </xf>
    <xf borderId="0" fillId="145" fontId="2" numFmtId="0" xfId="0" applyAlignment="1" applyFill="1" applyFont="1">
      <alignment shrinkToFit="0" wrapText="1"/>
    </xf>
    <xf borderId="0" fillId="146" fontId="2" numFmtId="0" xfId="0" applyAlignment="1" applyFill="1" applyFont="1">
      <alignment shrinkToFit="0" wrapText="1"/>
    </xf>
    <xf borderId="0" fillId="147" fontId="2" numFmtId="0" xfId="0" applyAlignment="1" applyFill="1" applyFont="1">
      <alignment shrinkToFit="0" wrapText="1"/>
    </xf>
    <xf borderId="0" fillId="148" fontId="2" numFmtId="0" xfId="0" applyAlignment="1" applyFill="1" applyFont="1">
      <alignment shrinkToFit="0" wrapText="1"/>
    </xf>
    <xf borderId="0" fillId="149" fontId="2" numFmtId="0" xfId="0" applyAlignment="1" applyFill="1" applyFont="1">
      <alignment shrinkToFit="0" wrapText="1"/>
    </xf>
    <xf borderId="0" fillId="150" fontId="2" numFmtId="0" xfId="0" applyAlignment="1" applyFill="1" applyFont="1">
      <alignment shrinkToFit="0" wrapText="1"/>
    </xf>
    <xf borderId="0" fillId="151" fontId="2" numFmtId="0" xfId="0" applyAlignment="1" applyFill="1" applyFont="1">
      <alignment shrinkToFit="0" wrapText="1"/>
    </xf>
    <xf borderId="0" fillId="152" fontId="2" numFmtId="0" xfId="0" applyAlignment="1" applyFill="1" applyFont="1">
      <alignment shrinkToFit="0" wrapText="1"/>
    </xf>
    <xf borderId="0" fillId="153" fontId="2" numFmtId="0" xfId="0" applyAlignment="1" applyFill="1" applyFont="1">
      <alignment shrinkToFit="0" wrapText="1"/>
    </xf>
    <xf borderId="0" fillId="154" fontId="2" numFmtId="0" xfId="0" applyAlignment="1" applyFill="1" applyFont="1">
      <alignment shrinkToFit="0" wrapText="1"/>
    </xf>
    <xf borderId="0" fillId="155" fontId="2" numFmtId="0" xfId="0" applyAlignment="1" applyFill="1" applyFont="1">
      <alignment shrinkToFit="0" wrapText="1"/>
    </xf>
    <xf borderId="0" fillId="156" fontId="2" numFmtId="0" xfId="0" applyAlignment="1" applyFill="1" applyFont="1">
      <alignment shrinkToFit="0" wrapText="1"/>
    </xf>
    <xf borderId="0" fillId="157" fontId="2" numFmtId="0" xfId="0" applyAlignment="1" applyFill="1" applyFont="1">
      <alignment shrinkToFit="0" wrapText="1"/>
    </xf>
    <xf borderId="0" fillId="158" fontId="2" numFmtId="0" xfId="0" applyAlignment="1" applyFill="1" applyFont="1">
      <alignment shrinkToFit="0" wrapText="1"/>
    </xf>
    <xf borderId="0" fillId="159" fontId="2" numFmtId="0" xfId="0" applyAlignment="1" applyFill="1" applyFont="1">
      <alignment shrinkToFit="0" wrapText="1"/>
    </xf>
    <xf borderId="0" fillId="160" fontId="2" numFmtId="0" xfId="0" applyAlignment="1" applyFill="1" applyFont="1">
      <alignment shrinkToFit="0" wrapText="1"/>
    </xf>
    <xf borderId="0" fillId="161" fontId="2" numFmtId="0" xfId="0" applyAlignment="1" applyFill="1" applyFont="1">
      <alignment shrinkToFit="0" wrapText="1"/>
    </xf>
    <xf borderId="0" fillId="162" fontId="2" numFmtId="0" xfId="0" applyAlignment="1" applyFill="1" applyFont="1">
      <alignment shrinkToFit="0" wrapText="1"/>
    </xf>
    <xf borderId="0" fillId="163" fontId="2" numFmtId="0" xfId="0" applyAlignment="1" applyFill="1" applyFont="1">
      <alignment shrinkToFit="0" wrapText="1"/>
    </xf>
    <xf borderId="0" fillId="164" fontId="2" numFmtId="0" xfId="0" applyAlignment="1" applyFill="1" applyFont="1">
      <alignment shrinkToFit="0" wrapText="1"/>
    </xf>
    <xf borderId="0" fillId="165" fontId="2" numFmtId="0" xfId="0" applyAlignment="1" applyFill="1" applyFont="1">
      <alignment shrinkToFit="0" wrapText="1"/>
    </xf>
    <xf borderId="0" fillId="166" fontId="2" numFmtId="0" xfId="0" applyAlignment="1" applyFill="1" applyFont="1">
      <alignment shrinkToFit="0" wrapText="1"/>
    </xf>
    <xf borderId="0" fillId="167" fontId="2" numFmtId="0" xfId="0" applyAlignment="1" applyFill="1" applyFont="1">
      <alignment shrinkToFit="0" wrapText="1"/>
    </xf>
    <xf borderId="0" fillId="168" fontId="2" numFmtId="0" xfId="0" applyAlignment="1" applyFill="1" applyFont="1">
      <alignment shrinkToFit="0" wrapText="1"/>
    </xf>
    <xf borderId="0" fillId="169" fontId="2" numFmtId="0" xfId="0" applyAlignment="1" applyFill="1" applyFont="1">
      <alignment shrinkToFit="0" wrapText="1"/>
    </xf>
    <xf borderId="0" fillId="170" fontId="2" numFmtId="0" xfId="0" applyAlignment="1" applyFill="1" applyFont="1">
      <alignment shrinkToFit="0" wrapText="1"/>
    </xf>
    <xf borderId="0" fillId="171" fontId="2" numFmtId="0" xfId="0" applyAlignment="1" applyFill="1" applyFont="1">
      <alignment shrinkToFit="0" wrapText="1"/>
    </xf>
    <xf borderId="0" fillId="172" fontId="2" numFmtId="0" xfId="0" applyAlignment="1" applyFill="1" applyFont="1">
      <alignment shrinkToFit="0" wrapText="1"/>
    </xf>
    <xf borderId="0" fillId="173" fontId="2" numFmtId="0" xfId="0" applyAlignment="1" applyFill="1" applyFont="1">
      <alignment shrinkToFit="0" wrapText="1"/>
    </xf>
    <xf borderId="0" fillId="174" fontId="2" numFmtId="0" xfId="0" applyAlignment="1" applyFill="1" applyFont="1">
      <alignment shrinkToFit="0" wrapText="1"/>
    </xf>
    <xf borderId="0" fillId="175" fontId="2" numFmtId="0" xfId="0" applyAlignment="1" applyFill="1" applyFont="1">
      <alignment shrinkToFit="0" wrapText="1"/>
    </xf>
    <xf borderId="0" fillId="176" fontId="2" numFmtId="0" xfId="0" applyAlignment="1" applyFill="1" applyFont="1">
      <alignment shrinkToFit="0" wrapText="1"/>
    </xf>
    <xf borderId="0" fillId="177" fontId="2" numFmtId="0" xfId="0" applyAlignment="1" applyFill="1" applyFont="1">
      <alignment shrinkToFit="0" wrapText="1"/>
    </xf>
    <xf borderId="0" fillId="178" fontId="2" numFmtId="0" xfId="0" applyAlignment="1" applyFill="1" applyFont="1">
      <alignment shrinkToFit="0" wrapText="1"/>
    </xf>
    <xf borderId="0" fillId="179" fontId="2" numFmtId="0" xfId="0" applyAlignment="1" applyFill="1" applyFont="1">
      <alignment shrinkToFit="0" wrapText="1"/>
    </xf>
    <xf borderId="0" fillId="180" fontId="2" numFmtId="0" xfId="0" applyAlignment="1" applyFill="1" applyFont="1">
      <alignment shrinkToFit="0" wrapText="1"/>
    </xf>
    <xf borderId="0" fillId="181" fontId="2" numFmtId="0" xfId="0" applyAlignment="1" applyFill="1" applyFont="1">
      <alignment shrinkToFit="0" wrapText="1"/>
    </xf>
    <xf borderId="0" fillId="182" fontId="2" numFmtId="0" xfId="0" applyAlignment="1" applyFill="1" applyFont="1">
      <alignment shrinkToFit="0" wrapText="1"/>
    </xf>
    <xf borderId="0" fillId="183" fontId="2" numFmtId="0" xfId="0" applyAlignment="1" applyFill="1" applyFont="1">
      <alignment shrinkToFit="0" wrapText="1"/>
    </xf>
    <xf borderId="0" fillId="184" fontId="2" numFmtId="0" xfId="0" applyAlignment="1" applyFill="1" applyFont="1">
      <alignment shrinkToFit="0" wrapText="1"/>
    </xf>
    <xf borderId="0" fillId="185" fontId="2" numFmtId="0" xfId="0" applyAlignment="1" applyFill="1" applyFont="1">
      <alignment shrinkToFit="0" wrapText="1"/>
    </xf>
    <xf borderId="0" fillId="186" fontId="2" numFmtId="0" xfId="0" applyAlignment="1" applyFill="1" applyFont="1">
      <alignment shrinkToFit="0" wrapText="1"/>
    </xf>
    <xf borderId="0" fillId="187" fontId="2" numFmtId="0" xfId="0" applyAlignment="1" applyFill="1" applyFont="1">
      <alignment shrinkToFit="0" wrapText="1"/>
    </xf>
    <xf borderId="0" fillId="188" fontId="2" numFmtId="0" xfId="0" applyAlignment="1" applyFill="1" applyFont="1">
      <alignment shrinkToFit="0" wrapText="1"/>
    </xf>
    <xf borderId="0" fillId="189" fontId="2" numFmtId="0" xfId="0" applyAlignment="1" applyFill="1" applyFont="1">
      <alignment shrinkToFit="0" wrapText="1"/>
    </xf>
    <xf borderId="0" fillId="190" fontId="2" numFmtId="0" xfId="0" applyAlignment="1" applyFill="1" applyFont="1">
      <alignment shrinkToFit="0" wrapText="1"/>
    </xf>
    <xf borderId="0" fillId="191" fontId="2" numFmtId="0" xfId="0" applyAlignment="1" applyFill="1" applyFont="1">
      <alignment shrinkToFit="0" wrapText="1"/>
    </xf>
    <xf borderId="0" fillId="192" fontId="2" numFmtId="0" xfId="0" applyAlignment="1" applyFill="1" applyFont="1">
      <alignment shrinkToFit="0" wrapText="1"/>
    </xf>
    <xf borderId="0" fillId="193" fontId="2" numFmtId="0" xfId="0" applyAlignment="1" applyFill="1" applyFont="1">
      <alignment shrinkToFit="0" wrapText="1"/>
    </xf>
    <xf borderId="0" fillId="194" fontId="2" numFmtId="0" xfId="0" applyAlignment="1" applyFill="1" applyFont="1">
      <alignment shrinkToFit="0" wrapText="1"/>
    </xf>
    <xf borderId="0" fillId="195" fontId="2" numFmtId="0" xfId="0" applyAlignment="1" applyFill="1" applyFont="1">
      <alignment shrinkToFit="0" wrapText="1"/>
    </xf>
    <xf borderId="0" fillId="196" fontId="2" numFmtId="0" xfId="0" applyAlignment="1" applyFill="1" applyFont="1">
      <alignment shrinkToFit="0" wrapText="1"/>
    </xf>
    <xf borderId="0" fillId="197" fontId="2" numFmtId="0" xfId="0" applyAlignment="1" applyFill="1" applyFont="1">
      <alignment shrinkToFit="0" wrapText="1"/>
    </xf>
    <xf borderId="0" fillId="198" fontId="2" numFmtId="0" xfId="0" applyAlignment="1" applyFill="1" applyFont="1">
      <alignment shrinkToFit="0" wrapText="1"/>
    </xf>
    <xf borderId="0" fillId="199" fontId="2" numFmtId="0" xfId="0" applyAlignment="1" applyFill="1" applyFont="1">
      <alignment shrinkToFit="0" wrapText="1"/>
    </xf>
    <xf borderId="0" fillId="200" fontId="2" numFmtId="0" xfId="0" applyAlignment="1" applyFill="1" applyFont="1">
      <alignment shrinkToFit="0" wrapText="1"/>
    </xf>
    <xf borderId="0" fillId="201" fontId="2" numFmtId="0" xfId="0" applyAlignment="1" applyFill="1" applyFont="1">
      <alignment shrinkToFit="0" wrapText="1"/>
    </xf>
    <xf borderId="0" fillId="202" fontId="2" numFmtId="0" xfId="0" applyAlignment="1" applyFill="1" applyFont="1">
      <alignment shrinkToFit="0" wrapText="1"/>
    </xf>
    <xf borderId="0" fillId="203" fontId="2" numFmtId="0" xfId="0" applyAlignment="1" applyFill="1" applyFont="1">
      <alignment shrinkToFit="0" wrapText="1"/>
    </xf>
    <xf borderId="0" fillId="204" fontId="2" numFmtId="0" xfId="0" applyAlignment="1" applyFill="1" applyFont="1">
      <alignment shrinkToFit="0" wrapText="1"/>
    </xf>
    <xf borderId="0" fillId="205" fontId="2" numFmtId="0" xfId="0" applyAlignment="1" applyFill="1" applyFont="1">
      <alignment shrinkToFit="0" wrapText="1"/>
    </xf>
    <xf borderId="0" fillId="206" fontId="2" numFmtId="0" xfId="0" applyAlignment="1" applyFill="1" applyFont="1">
      <alignment shrinkToFit="0" wrapText="1"/>
    </xf>
    <xf borderId="0" fillId="207" fontId="2" numFmtId="0" xfId="0" applyAlignment="1" applyFill="1" applyFont="1">
      <alignment shrinkToFit="0" wrapText="1"/>
    </xf>
    <xf borderId="0" fillId="208" fontId="2" numFmtId="0" xfId="0" applyAlignment="1" applyFill="1" applyFont="1">
      <alignment shrinkToFit="0" wrapText="1"/>
    </xf>
    <xf borderId="0" fillId="209" fontId="2" numFmtId="0" xfId="0" applyAlignment="1" applyFill="1" applyFont="1">
      <alignment shrinkToFit="0" wrapText="1"/>
    </xf>
    <xf borderId="0" fillId="210" fontId="2" numFmtId="0" xfId="0" applyAlignment="1" applyFill="1" applyFont="1">
      <alignment shrinkToFit="0" wrapText="1"/>
    </xf>
    <xf borderId="0" fillId="211" fontId="2" numFmtId="0" xfId="0" applyAlignment="1" applyFill="1" applyFont="1">
      <alignment shrinkToFit="0" wrapText="1"/>
    </xf>
    <xf borderId="0" fillId="212" fontId="2" numFmtId="0" xfId="0" applyAlignment="1" applyFill="1" applyFont="1">
      <alignment shrinkToFit="0" wrapText="1"/>
    </xf>
    <xf borderId="0" fillId="213" fontId="2" numFmtId="0" xfId="0" applyAlignment="1" applyFill="1" applyFont="1">
      <alignment shrinkToFit="0" wrapText="1"/>
    </xf>
    <xf borderId="0" fillId="214" fontId="2" numFmtId="0" xfId="0" applyAlignment="1" applyFill="1" applyFont="1">
      <alignment shrinkToFit="0" wrapText="1"/>
    </xf>
    <xf borderId="0" fillId="215" fontId="2" numFmtId="0" xfId="0" applyAlignment="1" applyFill="1" applyFont="1">
      <alignment shrinkToFit="0" wrapText="1"/>
    </xf>
    <xf borderId="0" fillId="216" fontId="2" numFmtId="0" xfId="0" applyAlignment="1" applyFill="1" applyFont="1">
      <alignment shrinkToFit="0" wrapText="1"/>
    </xf>
    <xf borderId="0" fillId="217" fontId="2" numFmtId="0" xfId="0" applyAlignment="1" applyFill="1" applyFont="1">
      <alignment shrinkToFit="0" wrapText="1"/>
    </xf>
    <xf borderId="0" fillId="218" fontId="2" numFmtId="0" xfId="0" applyAlignment="1" applyFill="1" applyFont="1">
      <alignment shrinkToFit="0" wrapText="1"/>
    </xf>
    <xf borderId="0" fillId="219" fontId="2" numFmtId="0" xfId="0" applyAlignment="1" applyFill="1" applyFont="1">
      <alignment shrinkToFit="0" wrapText="1"/>
    </xf>
    <xf borderId="0" fillId="220" fontId="2" numFmtId="0" xfId="0" applyAlignment="1" applyFill="1" applyFont="1">
      <alignment shrinkToFit="0" wrapText="1"/>
    </xf>
    <xf borderId="0" fillId="221" fontId="2" numFmtId="0" xfId="0" applyAlignment="1" applyFill="1" applyFont="1">
      <alignment shrinkToFit="0" wrapText="1"/>
    </xf>
    <xf borderId="0" fillId="222" fontId="2" numFmtId="0" xfId="0" applyAlignment="1" applyFill="1" applyFont="1">
      <alignment shrinkToFit="0" wrapText="1"/>
    </xf>
    <xf borderId="0" fillId="223" fontId="2" numFmtId="0" xfId="0" applyAlignment="1" applyFill="1" applyFont="1">
      <alignment shrinkToFit="0" wrapText="1"/>
    </xf>
    <xf borderId="0" fillId="224" fontId="2" numFmtId="0" xfId="0" applyAlignment="1" applyFill="1" applyFont="1">
      <alignment shrinkToFit="0" wrapText="1"/>
    </xf>
    <xf borderId="0" fillId="225" fontId="2" numFmtId="0" xfId="0" applyAlignment="1" applyFill="1" applyFont="1">
      <alignment shrinkToFit="0" wrapText="1"/>
    </xf>
    <xf borderId="0" fillId="226" fontId="2" numFmtId="0" xfId="0" applyAlignment="1" applyFill="1" applyFont="1">
      <alignment shrinkToFit="0" wrapText="1"/>
    </xf>
    <xf borderId="0" fillId="227" fontId="2" numFmtId="0" xfId="0" applyAlignment="1" applyFill="1" applyFont="1">
      <alignment shrinkToFit="0" wrapText="1"/>
    </xf>
    <xf borderId="0" fillId="228" fontId="2" numFmtId="0" xfId="0" applyAlignment="1" applyFill="1" applyFont="1">
      <alignment shrinkToFit="0" wrapText="1"/>
    </xf>
    <xf borderId="0" fillId="229" fontId="2" numFmtId="0" xfId="0" applyAlignment="1" applyFill="1" applyFont="1">
      <alignment shrinkToFit="0" wrapText="1"/>
    </xf>
    <xf borderId="0" fillId="230" fontId="2" numFmtId="0" xfId="0" applyAlignment="1" applyFill="1" applyFont="1">
      <alignment shrinkToFit="0" wrapText="1"/>
    </xf>
    <xf borderId="0" fillId="231" fontId="2" numFmtId="0" xfId="0" applyAlignment="1" applyFill="1" applyFont="1">
      <alignment shrinkToFit="0" wrapText="1"/>
    </xf>
    <xf borderId="0" fillId="232" fontId="2" numFmtId="0" xfId="0" applyAlignment="1" applyFill="1" applyFont="1">
      <alignment shrinkToFit="0" wrapText="1"/>
    </xf>
    <xf borderId="0" fillId="233" fontId="2" numFmtId="0" xfId="0" applyAlignment="1" applyFill="1" applyFont="1">
      <alignment shrinkToFit="0" wrapText="1"/>
    </xf>
    <xf borderId="0" fillId="234" fontId="2" numFmtId="0" xfId="0" applyAlignment="1" applyFill="1" applyFont="1">
      <alignment shrinkToFit="0" wrapText="1"/>
    </xf>
    <xf borderId="0" fillId="235" fontId="2" numFmtId="0" xfId="0" applyAlignment="1" applyFill="1" applyFont="1">
      <alignment shrinkToFit="0" wrapText="1"/>
    </xf>
    <xf borderId="0" fillId="236" fontId="2" numFmtId="0" xfId="0" applyAlignment="1" applyFill="1" applyFont="1">
      <alignment shrinkToFit="0" wrapText="1"/>
    </xf>
    <xf borderId="0" fillId="237" fontId="2" numFmtId="0" xfId="0" applyAlignment="1" applyFill="1" applyFont="1">
      <alignment shrinkToFit="0" wrapText="1"/>
    </xf>
    <xf borderId="0" fillId="238" fontId="2" numFmtId="0" xfId="0" applyAlignment="1" applyFill="1" applyFont="1">
      <alignment shrinkToFit="0" wrapText="1"/>
    </xf>
    <xf borderId="0" fillId="239" fontId="2" numFmtId="0" xfId="0" applyAlignment="1" applyFill="1" applyFont="1">
      <alignment shrinkToFit="0" wrapText="1"/>
    </xf>
    <xf borderId="0" fillId="240" fontId="2" numFmtId="0" xfId="0" applyAlignment="1" applyFill="1" applyFont="1">
      <alignment shrinkToFit="0" wrapText="1"/>
    </xf>
    <xf borderId="0" fillId="241" fontId="2" numFmtId="0" xfId="0" applyAlignment="1" applyFill="1" applyFont="1">
      <alignment shrinkToFit="0" wrapText="1"/>
    </xf>
    <xf borderId="0" fillId="242" fontId="2" numFmtId="0" xfId="0" applyAlignment="1" applyFill="1" applyFont="1">
      <alignment shrinkToFit="0" wrapText="1"/>
    </xf>
    <xf borderId="0" fillId="243" fontId="2" numFmtId="0" xfId="0" applyAlignment="1" applyFill="1" applyFont="1">
      <alignment shrinkToFit="0" wrapText="1"/>
    </xf>
    <xf borderId="0" fillId="244" fontId="2" numFmtId="0" xfId="0" applyAlignment="1" applyFill="1" applyFont="1">
      <alignment shrinkToFit="0" wrapText="1"/>
    </xf>
    <xf borderId="0" fillId="245" fontId="2" numFmtId="0" xfId="0" applyAlignment="1" applyFill="1" applyFont="1">
      <alignment shrinkToFit="0" wrapText="1"/>
    </xf>
    <xf borderId="0" fillId="246" fontId="2" numFmtId="0" xfId="0" applyAlignment="1" applyFill="1" applyFont="1">
      <alignment shrinkToFit="0" wrapText="1"/>
    </xf>
    <xf borderId="0" fillId="247" fontId="2" numFmtId="0" xfId="0" applyAlignment="1" applyFill="1" applyFont="1">
      <alignment shrinkToFit="0" wrapText="1"/>
    </xf>
    <xf borderId="0" fillId="248" fontId="2" numFmtId="0" xfId="0" applyAlignment="1" applyFill="1" applyFont="1">
      <alignment shrinkToFit="0" wrapText="1"/>
    </xf>
    <xf borderId="0" fillId="249" fontId="2" numFmtId="0" xfId="0" applyAlignment="1" applyFill="1" applyFont="1">
      <alignment shrinkToFit="0" wrapText="1"/>
    </xf>
    <xf borderId="0" fillId="250" fontId="2" numFmtId="0" xfId="0" applyAlignment="1" applyFill="1" applyFont="1">
      <alignment shrinkToFit="0" wrapText="1"/>
    </xf>
    <xf borderId="0" fillId="251" fontId="2" numFmtId="0" xfId="0" applyAlignment="1" applyFill="1" applyFont="1">
      <alignment shrinkToFit="0" wrapText="1"/>
    </xf>
    <xf borderId="0" fillId="252" fontId="2" numFmtId="0" xfId="0" applyAlignment="1" applyFill="1" applyFont="1">
      <alignment shrinkToFit="0" wrapText="1"/>
    </xf>
    <xf borderId="0" fillId="253" fontId="2" numFmtId="0" xfId="0" applyAlignment="1" applyFill="1" applyFont="1">
      <alignment readingOrder="0" shrinkToFit="0" wrapText="1"/>
    </xf>
    <xf borderId="0" fillId="254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dakkadakka.com/wiki/en/Paint_Range_Compatibility_Char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dakkadakka.com/wiki/en/Paint_Range_Compatibility_Char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dakkadakka.com/wiki/en/Paint_Range_Compatibility_Char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75"/>
    <col customWidth="1" min="2" max="4" width="15.13"/>
    <col customWidth="1" hidden="1" min="5" max="5" width="15.13"/>
    <col customWidth="1" min="6" max="6" width="9.75"/>
    <col customWidth="1" min="7" max="7" width="15.13"/>
    <col customWidth="1" min="8" max="8" width="8.38"/>
    <col customWidth="1" min="9" max="9" width="15.13"/>
    <col customWidth="1" min="10" max="10" width="7.5"/>
    <col customWidth="1" min="11" max="12" width="15.13"/>
    <col customWidth="1" min="13" max="13" width="12.25"/>
    <col customWidth="1" min="14" max="2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6" t="s">
        <v>14</v>
      </c>
      <c r="B2" s="6" t="s">
        <v>15</v>
      </c>
      <c r="C2" s="6" t="s">
        <v>16</v>
      </c>
      <c r="D2" s="6" t="s">
        <v>17</v>
      </c>
      <c r="E2" s="7" t="str">
        <f>IFERROR(__xludf.DUMMYFUNCTION("""72."" &amp;+ REGEXEXTRACT(D2, ""\((\d*)\)"")"),"72.001")</f>
        <v>72.001</v>
      </c>
      <c r="F2" s="8" t="s">
        <v>18</v>
      </c>
      <c r="G2" s="6" t="s">
        <v>19</v>
      </c>
      <c r="H2" s="8" t="s">
        <v>20</v>
      </c>
      <c r="I2" s="8" t="s">
        <v>21</v>
      </c>
      <c r="J2" s="8" t="s">
        <v>22</v>
      </c>
      <c r="K2" s="6" t="s">
        <v>23</v>
      </c>
      <c r="L2" s="6" t="s">
        <v>24</v>
      </c>
      <c r="M2" s="6" t="s">
        <v>25</v>
      </c>
      <c r="N2" s="6" t="s">
        <v>26</v>
      </c>
      <c r="O2" s="9" t="s">
        <v>27</v>
      </c>
    </row>
    <row r="3" ht="22.5" customHeight="1">
      <c r="A3" s="6" t="s">
        <v>14</v>
      </c>
      <c r="B3" s="6" t="s">
        <v>28</v>
      </c>
      <c r="C3" s="6" t="s">
        <v>29</v>
      </c>
      <c r="D3" s="6" t="s">
        <v>30</v>
      </c>
      <c r="E3" s="7" t="str">
        <f>IFERROR(__xludf.DUMMYFUNCTION("""72."" &amp;+ REGEXEXTRACT(D3, ""\((\d*)\)"")"),"72.002")</f>
        <v>72.002</v>
      </c>
      <c r="F3" s="8" t="s">
        <v>31</v>
      </c>
      <c r="G3" s="6" t="s">
        <v>32</v>
      </c>
      <c r="H3" s="8" t="s">
        <v>33</v>
      </c>
      <c r="I3" s="10"/>
      <c r="J3" s="10"/>
      <c r="K3" s="6" t="s">
        <v>28</v>
      </c>
      <c r="L3" s="6" t="s">
        <v>34</v>
      </c>
      <c r="M3" s="6" t="s">
        <v>28</v>
      </c>
      <c r="N3" s="6" t="s">
        <v>35</v>
      </c>
      <c r="O3" s="9" t="s">
        <v>27</v>
      </c>
    </row>
    <row r="4" ht="22.5" customHeight="1">
      <c r="A4" s="11" t="s">
        <v>14</v>
      </c>
      <c r="B4" s="6" t="s">
        <v>28</v>
      </c>
      <c r="C4" s="6" t="s">
        <v>36</v>
      </c>
      <c r="D4" s="6" t="s">
        <v>37</v>
      </c>
      <c r="E4" s="7" t="str">
        <f>IFERROR(__xludf.DUMMYFUNCTION("""72."" &amp;+ REGEXEXTRACT(D4, ""\((\d*)\)"")"),"72.003")</f>
        <v>72.003</v>
      </c>
      <c r="F4" s="8" t="s">
        <v>38</v>
      </c>
      <c r="G4" s="6" t="s">
        <v>39</v>
      </c>
      <c r="H4" s="8" t="s">
        <v>40</v>
      </c>
      <c r="I4" s="10"/>
      <c r="J4" s="10"/>
      <c r="K4" s="6" t="s">
        <v>41</v>
      </c>
      <c r="L4" s="6" t="s">
        <v>42</v>
      </c>
      <c r="M4" s="6" t="s">
        <v>28</v>
      </c>
      <c r="N4" s="6" t="s">
        <v>43</v>
      </c>
      <c r="O4" s="9" t="s">
        <v>44</v>
      </c>
    </row>
    <row r="5" ht="22.5" customHeight="1">
      <c r="A5" s="12" t="s">
        <v>14</v>
      </c>
      <c r="B5" s="6" t="s">
        <v>45</v>
      </c>
      <c r="C5" s="6" t="s">
        <v>46</v>
      </c>
      <c r="D5" s="6" t="s">
        <v>47</v>
      </c>
      <c r="E5" s="7" t="str">
        <f>IFERROR(__xludf.DUMMYFUNCTION("""72."" &amp;+ REGEXEXTRACT(D5, ""\((\d*)\)"")"),"72.004")</f>
        <v>72.004</v>
      </c>
      <c r="F5" s="8" t="s">
        <v>48</v>
      </c>
      <c r="G5" s="6" t="s">
        <v>49</v>
      </c>
      <c r="H5" s="8" t="s">
        <v>50</v>
      </c>
      <c r="I5" s="10"/>
      <c r="J5" s="10"/>
      <c r="K5" s="6" t="s">
        <v>51</v>
      </c>
      <c r="L5" s="6" t="s">
        <v>52</v>
      </c>
      <c r="M5" s="6" t="s">
        <v>28</v>
      </c>
      <c r="N5" s="6" t="s">
        <v>53</v>
      </c>
      <c r="O5" s="9" t="s">
        <v>54</v>
      </c>
    </row>
    <row r="6" ht="22.5" customHeight="1">
      <c r="A6" s="13" t="s">
        <v>14</v>
      </c>
      <c r="B6" s="6" t="s">
        <v>28</v>
      </c>
      <c r="C6" s="6" t="s">
        <v>55</v>
      </c>
      <c r="D6" s="6" t="s">
        <v>56</v>
      </c>
      <c r="E6" s="7" t="str">
        <f>IFERROR(__xludf.DUMMYFUNCTION("""72."" &amp;+ REGEXEXTRACT(D6, ""\((\d*)\)"")"),"72.005")</f>
        <v>72.005</v>
      </c>
      <c r="F6" s="8" t="s">
        <v>57</v>
      </c>
      <c r="G6" s="6" t="s">
        <v>58</v>
      </c>
      <c r="H6" s="8" t="s">
        <v>59</v>
      </c>
      <c r="I6" s="10"/>
      <c r="J6" s="10"/>
      <c r="K6" s="6" t="s">
        <v>28</v>
      </c>
      <c r="L6" s="6" t="s">
        <v>60</v>
      </c>
      <c r="M6" s="6" t="s">
        <v>28</v>
      </c>
      <c r="N6" s="6" t="s">
        <v>61</v>
      </c>
      <c r="O6" s="9" t="s">
        <v>62</v>
      </c>
    </row>
    <row r="7" ht="22.5" customHeight="1">
      <c r="A7" s="14"/>
      <c r="B7" s="6" t="s">
        <v>63</v>
      </c>
      <c r="C7" s="6" t="s">
        <v>64</v>
      </c>
      <c r="D7" s="6" t="s">
        <v>65</v>
      </c>
      <c r="E7" s="7" t="str">
        <f>IFERROR(__xludf.DUMMYFUNCTION("""72."" &amp;+ REGEXEXTRACT(D7, ""\((\d*)\)"")"),"72.006")</f>
        <v>72.006</v>
      </c>
      <c r="F7" s="8" t="s">
        <v>66</v>
      </c>
      <c r="G7" s="6" t="s">
        <v>67</v>
      </c>
      <c r="H7" s="8" t="s">
        <v>68</v>
      </c>
      <c r="I7" s="8" t="s">
        <v>69</v>
      </c>
      <c r="J7" s="8" t="s">
        <v>70</v>
      </c>
      <c r="K7" s="6" t="s">
        <v>71</v>
      </c>
      <c r="L7" s="6" t="s">
        <v>72</v>
      </c>
      <c r="M7" s="6" t="s">
        <v>28</v>
      </c>
      <c r="N7" s="6" t="s">
        <v>73</v>
      </c>
      <c r="O7" s="9" t="s">
        <v>74</v>
      </c>
    </row>
    <row r="8" ht="22.5" customHeight="1">
      <c r="A8" s="15" t="s">
        <v>14</v>
      </c>
      <c r="B8" s="6" t="s">
        <v>75</v>
      </c>
      <c r="C8" s="6" t="s">
        <v>76</v>
      </c>
      <c r="D8" s="6" t="s">
        <v>77</v>
      </c>
      <c r="E8" s="7" t="str">
        <f>IFERROR(__xludf.DUMMYFUNCTION("""72."" &amp;+ REGEXEXTRACT(D8, ""\((\d*)\)"")"),"72.007")</f>
        <v>72.007</v>
      </c>
      <c r="F8" s="8" t="s">
        <v>78</v>
      </c>
      <c r="G8" s="6" t="s">
        <v>79</v>
      </c>
      <c r="H8" s="8" t="s">
        <v>80</v>
      </c>
      <c r="I8" s="10"/>
      <c r="J8" s="10"/>
      <c r="K8" s="6" t="s">
        <v>81</v>
      </c>
      <c r="L8" s="6" t="s">
        <v>82</v>
      </c>
      <c r="M8" s="6" t="s">
        <v>28</v>
      </c>
      <c r="N8" s="6" t="s">
        <v>83</v>
      </c>
      <c r="O8" s="9" t="s">
        <v>84</v>
      </c>
    </row>
    <row r="9" ht="22.5" customHeight="1">
      <c r="A9" s="16" t="s">
        <v>14</v>
      </c>
      <c r="B9" s="6" t="s">
        <v>28</v>
      </c>
      <c r="C9" s="6" t="s">
        <v>85</v>
      </c>
      <c r="D9" s="6" t="s">
        <v>86</v>
      </c>
      <c r="E9" s="7" t="str">
        <f>IFERROR(__xludf.DUMMYFUNCTION("""72."" &amp;+ REGEXEXTRACT(D9, ""\((\d*)\)"")"),"72.008")</f>
        <v>72.008</v>
      </c>
      <c r="F9" s="8" t="s">
        <v>87</v>
      </c>
      <c r="G9" s="6" t="s">
        <v>88</v>
      </c>
      <c r="H9" s="8" t="s">
        <v>89</v>
      </c>
      <c r="I9" s="10"/>
      <c r="J9" s="10"/>
      <c r="K9" s="6" t="s">
        <v>90</v>
      </c>
      <c r="L9" s="6" t="s">
        <v>91</v>
      </c>
      <c r="M9" s="6" t="s">
        <v>28</v>
      </c>
      <c r="N9" s="6" t="s">
        <v>92</v>
      </c>
      <c r="O9" s="9" t="s">
        <v>93</v>
      </c>
    </row>
    <row r="10" ht="22.5" customHeight="1">
      <c r="A10" s="17" t="s">
        <v>14</v>
      </c>
      <c r="B10" s="6" t="s">
        <v>94</v>
      </c>
      <c r="C10" s="6" t="s">
        <v>95</v>
      </c>
      <c r="D10" s="6" t="s">
        <v>96</v>
      </c>
      <c r="E10" s="7" t="str">
        <f>IFERROR(__xludf.DUMMYFUNCTION("""72."" &amp;+ REGEXEXTRACT(D10, ""\((\d*)\)"")"),"72.009")</f>
        <v>72.009</v>
      </c>
      <c r="F10" s="8" t="s">
        <v>97</v>
      </c>
      <c r="G10" s="6" t="s">
        <v>98</v>
      </c>
      <c r="H10" s="8" t="s">
        <v>99</v>
      </c>
      <c r="I10" s="8" t="s">
        <v>100</v>
      </c>
      <c r="J10" s="8" t="s">
        <v>101</v>
      </c>
      <c r="K10" s="6" t="s">
        <v>102</v>
      </c>
      <c r="L10" s="6" t="s">
        <v>103</v>
      </c>
      <c r="M10" s="6" t="s">
        <v>28</v>
      </c>
      <c r="N10" s="6" t="s">
        <v>104</v>
      </c>
      <c r="O10" s="9" t="s">
        <v>105</v>
      </c>
    </row>
    <row r="11" ht="22.5" customHeight="1">
      <c r="A11" s="18"/>
      <c r="B11" s="6" t="s">
        <v>106</v>
      </c>
      <c r="C11" s="6" t="s">
        <v>107</v>
      </c>
      <c r="D11" s="6" t="s">
        <v>108</v>
      </c>
      <c r="E11" s="7" t="str">
        <f>IFERROR(__xludf.DUMMYFUNCTION("""72."" &amp;+ REGEXEXTRACT(D11, ""\((\d*)\)"")"),"72.010")</f>
        <v>72.010</v>
      </c>
      <c r="F11" s="8" t="s">
        <v>109</v>
      </c>
      <c r="G11" s="6" t="s">
        <v>110</v>
      </c>
      <c r="H11" s="8" t="s">
        <v>111</v>
      </c>
      <c r="I11" s="10"/>
      <c r="J11" s="10"/>
      <c r="K11" s="6" t="s">
        <v>112</v>
      </c>
      <c r="L11" s="6" t="s">
        <v>113</v>
      </c>
      <c r="M11" s="6" t="s">
        <v>28</v>
      </c>
      <c r="N11" s="6" t="s">
        <v>114</v>
      </c>
      <c r="O11" s="9" t="s">
        <v>115</v>
      </c>
    </row>
    <row r="12" ht="22.5" customHeight="1">
      <c r="A12" s="19" t="s">
        <v>14</v>
      </c>
      <c r="B12" s="6" t="s">
        <v>116</v>
      </c>
      <c r="C12" s="6" t="s">
        <v>117</v>
      </c>
      <c r="D12" s="6" t="s">
        <v>118</v>
      </c>
      <c r="E12" s="7" t="str">
        <f>IFERROR(__xludf.DUMMYFUNCTION("""72."" &amp;+ REGEXEXTRACT(D12, ""\((\d*)\)"")"),"72.011")</f>
        <v>72.011</v>
      </c>
      <c r="F12" s="8" t="s">
        <v>119</v>
      </c>
      <c r="G12" s="6" t="s">
        <v>120</v>
      </c>
      <c r="H12" s="8" t="s">
        <v>121</v>
      </c>
      <c r="I12" s="8" t="s">
        <v>122</v>
      </c>
      <c r="J12" s="8" t="s">
        <v>123</v>
      </c>
      <c r="K12" s="6" t="s">
        <v>124</v>
      </c>
      <c r="L12" s="6" t="s">
        <v>125</v>
      </c>
      <c r="M12" s="6" t="s">
        <v>28</v>
      </c>
      <c r="N12" s="6" t="s">
        <v>126</v>
      </c>
      <c r="O12" s="9" t="s">
        <v>127</v>
      </c>
    </row>
    <row r="13" ht="22.5" customHeight="1">
      <c r="A13" s="20" t="s">
        <v>14</v>
      </c>
      <c r="B13" s="6" t="s">
        <v>128</v>
      </c>
      <c r="C13" s="6" t="s">
        <v>129</v>
      </c>
      <c r="D13" s="6" t="s">
        <v>130</v>
      </c>
      <c r="E13" s="7" t="str">
        <f>IFERROR(__xludf.DUMMYFUNCTION("""72."" &amp;+ REGEXEXTRACT(D13, ""\((\d*)\)"")"),"72.012")</f>
        <v>72.012</v>
      </c>
      <c r="F13" s="8" t="s">
        <v>131</v>
      </c>
      <c r="G13" s="6" t="s">
        <v>132</v>
      </c>
      <c r="H13" s="8" t="s">
        <v>133</v>
      </c>
      <c r="I13" s="10"/>
      <c r="J13" s="10"/>
      <c r="K13" s="6" t="s">
        <v>134</v>
      </c>
      <c r="L13" s="6" t="s">
        <v>135</v>
      </c>
      <c r="M13" s="6" t="s">
        <v>28</v>
      </c>
      <c r="N13" s="6" t="s">
        <v>28</v>
      </c>
      <c r="O13" s="9" t="s">
        <v>136</v>
      </c>
    </row>
    <row r="14" ht="22.5" customHeight="1">
      <c r="A14" s="21" t="s">
        <v>14</v>
      </c>
      <c r="B14" s="6" t="s">
        <v>28</v>
      </c>
      <c r="C14" s="6" t="s">
        <v>137</v>
      </c>
      <c r="D14" s="6" t="s">
        <v>138</v>
      </c>
      <c r="E14" s="7" t="str">
        <f>IFERROR(__xludf.DUMMYFUNCTION("""72."" &amp;+ REGEXEXTRACT(D14, ""\((\d*)\)"")"),"72.013")</f>
        <v>72.013</v>
      </c>
      <c r="F14" s="8" t="s">
        <v>139</v>
      </c>
      <c r="G14" s="6" t="s">
        <v>140</v>
      </c>
      <c r="H14" s="8" t="s">
        <v>141</v>
      </c>
      <c r="I14" s="10"/>
      <c r="J14" s="10"/>
      <c r="K14" s="6" t="s">
        <v>142</v>
      </c>
      <c r="L14" s="6" t="s">
        <v>143</v>
      </c>
      <c r="M14" s="6" t="s">
        <v>28</v>
      </c>
      <c r="N14" s="6" t="s">
        <v>144</v>
      </c>
      <c r="O14" s="9" t="s">
        <v>145</v>
      </c>
    </row>
    <row r="15" ht="22.5" customHeight="1">
      <c r="A15" s="22" t="s">
        <v>14</v>
      </c>
      <c r="B15" s="6" t="s">
        <v>146</v>
      </c>
      <c r="C15" s="6" t="s">
        <v>147</v>
      </c>
      <c r="D15" s="6" t="s">
        <v>148</v>
      </c>
      <c r="E15" s="7" t="str">
        <f>IFERROR(__xludf.DUMMYFUNCTION("""72."" &amp;+ REGEXEXTRACT(D15, ""\((\d*)\)"")"),"72.014")</f>
        <v>72.014</v>
      </c>
      <c r="F15" s="8" t="s">
        <v>149</v>
      </c>
      <c r="G15" s="6" t="s">
        <v>150</v>
      </c>
      <c r="H15" s="8" t="s">
        <v>151</v>
      </c>
      <c r="I15" s="10"/>
      <c r="J15" s="10"/>
      <c r="K15" s="6" t="s">
        <v>152</v>
      </c>
      <c r="L15" s="6" t="s">
        <v>153</v>
      </c>
      <c r="M15" s="6" t="s">
        <v>28</v>
      </c>
      <c r="N15" s="6" t="s">
        <v>154</v>
      </c>
      <c r="O15" s="9" t="s">
        <v>155</v>
      </c>
    </row>
    <row r="16" ht="22.5" customHeight="1">
      <c r="A16" s="23" t="s">
        <v>14</v>
      </c>
      <c r="B16" s="6" t="s">
        <v>156</v>
      </c>
      <c r="C16" s="6" t="s">
        <v>157</v>
      </c>
      <c r="D16" s="6" t="s">
        <v>158</v>
      </c>
      <c r="E16" s="7" t="str">
        <f>IFERROR(__xludf.DUMMYFUNCTION("""72."" &amp;+ REGEXEXTRACT(D16, ""\((\d*)\)"")"),"72.015")</f>
        <v>72.015</v>
      </c>
      <c r="F16" s="8" t="s">
        <v>159</v>
      </c>
      <c r="H16" s="10"/>
      <c r="I16" s="10"/>
      <c r="J16" s="10"/>
      <c r="K16" s="6" t="s">
        <v>160</v>
      </c>
      <c r="L16" s="6" t="s">
        <v>161</v>
      </c>
      <c r="M16" s="6" t="s">
        <v>162</v>
      </c>
      <c r="N16" s="6" t="s">
        <v>163</v>
      </c>
      <c r="O16" s="9" t="s">
        <v>164</v>
      </c>
    </row>
    <row r="17" ht="22.5" customHeight="1">
      <c r="A17" s="24"/>
      <c r="B17" s="6" t="s">
        <v>28</v>
      </c>
      <c r="C17" s="6" t="s">
        <v>165</v>
      </c>
      <c r="D17" s="6" t="s">
        <v>166</v>
      </c>
      <c r="E17" s="7" t="str">
        <f>IFERROR(__xludf.DUMMYFUNCTION("""72."" &amp;+ REGEXEXTRACT(D17, ""\((\d*)\)"")"),"72.016")</f>
        <v>72.016</v>
      </c>
      <c r="F17" s="8" t="s">
        <v>167</v>
      </c>
      <c r="G17" s="6" t="s">
        <v>168</v>
      </c>
      <c r="H17" s="8" t="s">
        <v>169</v>
      </c>
      <c r="I17" s="10"/>
      <c r="J17" s="10"/>
      <c r="K17" s="6" t="s">
        <v>28</v>
      </c>
      <c r="L17" s="6" t="s">
        <v>170</v>
      </c>
      <c r="M17" s="6" t="s">
        <v>28</v>
      </c>
      <c r="N17" s="6" t="s">
        <v>171</v>
      </c>
      <c r="O17" s="9" t="s">
        <v>172</v>
      </c>
    </row>
    <row r="18" ht="22.5" customHeight="1">
      <c r="A18" s="25" t="s">
        <v>14</v>
      </c>
      <c r="B18" s="6" t="s">
        <v>28</v>
      </c>
      <c r="C18" s="6" t="s">
        <v>173</v>
      </c>
      <c r="D18" s="6" t="s">
        <v>174</v>
      </c>
      <c r="E18" s="7" t="str">
        <f>IFERROR(__xludf.DUMMYFUNCTION("""72."" &amp;+ REGEXEXTRACT(D18, ""\((\d*)\)"")"),"72.017")</f>
        <v>72.017</v>
      </c>
      <c r="F18" s="8" t="s">
        <v>175</v>
      </c>
      <c r="G18" s="6" t="s">
        <v>176</v>
      </c>
      <c r="H18" s="8" t="s">
        <v>177</v>
      </c>
      <c r="I18" s="10"/>
      <c r="J18" s="10"/>
      <c r="K18" s="6" t="s">
        <v>28</v>
      </c>
      <c r="L18" s="6" t="s">
        <v>178</v>
      </c>
      <c r="M18" s="6" t="s">
        <v>28</v>
      </c>
      <c r="N18" s="6" t="s">
        <v>179</v>
      </c>
      <c r="O18" s="9" t="s">
        <v>180</v>
      </c>
    </row>
    <row r="19" ht="22.5" customHeight="1">
      <c r="A19" s="26" t="s">
        <v>14</v>
      </c>
      <c r="B19" s="6" t="s">
        <v>28</v>
      </c>
      <c r="C19" s="6" t="s">
        <v>181</v>
      </c>
      <c r="D19" s="6" t="s">
        <v>182</v>
      </c>
      <c r="E19" s="7" t="str">
        <f>IFERROR(__xludf.DUMMYFUNCTION("""72."" &amp;+ REGEXEXTRACT(D19, ""\((\d*)\)"")"),"72.018")</f>
        <v>72.018</v>
      </c>
      <c r="F19" s="8" t="s">
        <v>183</v>
      </c>
      <c r="G19" s="6" t="s">
        <v>184</v>
      </c>
      <c r="H19" s="8" t="s">
        <v>185</v>
      </c>
      <c r="I19" s="10"/>
      <c r="J19" s="10"/>
      <c r="K19" s="6" t="s">
        <v>186</v>
      </c>
      <c r="L19" s="6" t="s">
        <v>187</v>
      </c>
      <c r="M19" s="6" t="s">
        <v>28</v>
      </c>
      <c r="N19" s="6" t="s">
        <v>28</v>
      </c>
      <c r="O19" s="9" t="s">
        <v>188</v>
      </c>
    </row>
    <row r="20" ht="22.5" customHeight="1">
      <c r="A20" s="27" t="s">
        <v>14</v>
      </c>
      <c r="B20" s="6" t="s">
        <v>28</v>
      </c>
      <c r="C20" s="6" t="s">
        <v>189</v>
      </c>
      <c r="D20" s="6" t="s">
        <v>190</v>
      </c>
      <c r="E20" s="7" t="str">
        <f>IFERROR(__xludf.DUMMYFUNCTION("""72."" &amp;+ REGEXEXTRACT(D20, ""\((\d*)\)"")"),"72.019")</f>
        <v>72.019</v>
      </c>
      <c r="F20" s="8" t="s">
        <v>191</v>
      </c>
      <c r="G20" s="6" t="s">
        <v>192</v>
      </c>
      <c r="H20" s="8" t="s">
        <v>193</v>
      </c>
      <c r="I20" s="8" t="s">
        <v>194</v>
      </c>
      <c r="J20" s="8" t="s">
        <v>195</v>
      </c>
      <c r="K20" s="6" t="s">
        <v>196</v>
      </c>
      <c r="L20" s="6" t="s">
        <v>197</v>
      </c>
      <c r="M20" s="6" t="s">
        <v>28</v>
      </c>
      <c r="N20" s="6" t="s">
        <v>28</v>
      </c>
      <c r="O20" s="9" t="s">
        <v>198</v>
      </c>
    </row>
    <row r="21" ht="22.5" customHeight="1">
      <c r="A21" s="28" t="s">
        <v>14</v>
      </c>
      <c r="B21" s="6" t="s">
        <v>199</v>
      </c>
      <c r="C21" s="6" t="s">
        <v>200</v>
      </c>
      <c r="D21" s="6" t="s">
        <v>201</v>
      </c>
      <c r="E21" s="7" t="str">
        <f>IFERROR(__xludf.DUMMYFUNCTION("""72."" &amp;+ REGEXEXTRACT(D21, ""\((\d*)\)"")"),"72.020")</f>
        <v>72.020</v>
      </c>
      <c r="F21" s="8" t="s">
        <v>202</v>
      </c>
      <c r="G21" s="6" t="s">
        <v>203</v>
      </c>
      <c r="H21" s="8" t="s">
        <v>204</v>
      </c>
      <c r="I21" s="10"/>
      <c r="J21" s="10"/>
      <c r="K21" s="6" t="s">
        <v>28</v>
      </c>
      <c r="L21" s="6" t="s">
        <v>205</v>
      </c>
      <c r="M21" s="6" t="s">
        <v>28</v>
      </c>
      <c r="N21" s="6" t="s">
        <v>206</v>
      </c>
      <c r="O21" s="9" t="s">
        <v>207</v>
      </c>
    </row>
    <row r="22" ht="22.5" customHeight="1">
      <c r="A22" s="29" t="s">
        <v>14</v>
      </c>
      <c r="B22" s="6" t="s">
        <v>208</v>
      </c>
      <c r="C22" s="6" t="s">
        <v>209</v>
      </c>
      <c r="D22" s="6" t="s">
        <v>210</v>
      </c>
      <c r="E22" s="7" t="str">
        <f>IFERROR(__xludf.DUMMYFUNCTION("""72."" &amp;+ REGEXEXTRACT(D22, ""\((\d*)\)"")"),"72.021")</f>
        <v>72.021</v>
      </c>
      <c r="F22" s="8" t="s">
        <v>211</v>
      </c>
      <c r="G22" s="6" t="s">
        <v>212</v>
      </c>
      <c r="H22" s="8" t="s">
        <v>213</v>
      </c>
      <c r="I22" s="10"/>
      <c r="J22" s="10"/>
      <c r="K22" s="6" t="s">
        <v>214</v>
      </c>
      <c r="L22" s="6" t="s">
        <v>215</v>
      </c>
      <c r="M22" s="6" t="s">
        <v>28</v>
      </c>
      <c r="N22" s="6" t="s">
        <v>216</v>
      </c>
      <c r="O22" s="9" t="s">
        <v>217</v>
      </c>
    </row>
    <row r="23" ht="22.5" customHeight="1">
      <c r="A23" s="30" t="s">
        <v>14</v>
      </c>
      <c r="B23" s="6" t="s">
        <v>218</v>
      </c>
      <c r="C23" s="6" t="s">
        <v>219</v>
      </c>
      <c r="D23" s="6" t="s">
        <v>220</v>
      </c>
      <c r="E23" s="7" t="str">
        <f>IFERROR(__xludf.DUMMYFUNCTION("""72."" &amp;+ REGEXEXTRACT(D23, ""\((\d*)\)"")"),"72.022")</f>
        <v>72.022</v>
      </c>
      <c r="F23" s="8" t="s">
        <v>221</v>
      </c>
      <c r="G23" s="6" t="s">
        <v>222</v>
      </c>
      <c r="H23" s="8" t="s">
        <v>223</v>
      </c>
      <c r="I23" s="10"/>
      <c r="J23" s="10"/>
      <c r="K23" s="6" t="s">
        <v>224</v>
      </c>
      <c r="L23" s="6" t="s">
        <v>225</v>
      </c>
      <c r="M23" s="6" t="s">
        <v>28</v>
      </c>
      <c r="N23" s="6" t="s">
        <v>226</v>
      </c>
      <c r="O23" s="9" t="s">
        <v>227</v>
      </c>
    </row>
    <row r="24" ht="22.5" customHeight="1">
      <c r="A24" s="31" t="s">
        <v>14</v>
      </c>
      <c r="B24" s="6" t="s">
        <v>28</v>
      </c>
      <c r="C24" s="6" t="s">
        <v>228</v>
      </c>
      <c r="D24" s="6" t="s">
        <v>229</v>
      </c>
      <c r="E24" s="7" t="str">
        <f>IFERROR(__xludf.DUMMYFUNCTION("""72."" &amp;+ REGEXEXTRACT(D24, ""\((\d*)\)"")"),"72.023")</f>
        <v>72.023</v>
      </c>
      <c r="F24" s="8" t="s">
        <v>230</v>
      </c>
      <c r="G24" s="6" t="s">
        <v>231</v>
      </c>
      <c r="H24" s="8" t="s">
        <v>232</v>
      </c>
      <c r="I24" s="10"/>
      <c r="J24" s="10"/>
      <c r="K24" s="6" t="s">
        <v>233</v>
      </c>
      <c r="L24" s="6" t="s">
        <v>234</v>
      </c>
      <c r="M24" s="6" t="s">
        <v>28</v>
      </c>
      <c r="N24" s="6" t="s">
        <v>235</v>
      </c>
      <c r="O24" s="9" t="s">
        <v>236</v>
      </c>
    </row>
    <row r="25" ht="22.5" customHeight="1">
      <c r="A25" s="32" t="s">
        <v>14</v>
      </c>
      <c r="B25" s="6" t="s">
        <v>237</v>
      </c>
      <c r="C25" s="6" t="s">
        <v>238</v>
      </c>
      <c r="D25" s="6" t="s">
        <v>239</v>
      </c>
      <c r="E25" s="7" t="str">
        <f>IFERROR(__xludf.DUMMYFUNCTION("""72."" &amp;+ REGEXEXTRACT(D25, ""\((\d*)\)"")"),"72.024")</f>
        <v>72.024</v>
      </c>
      <c r="F25" s="8" t="s">
        <v>240</v>
      </c>
      <c r="G25" s="6" t="s">
        <v>241</v>
      </c>
      <c r="H25" s="8" t="s">
        <v>242</v>
      </c>
      <c r="I25" s="10"/>
      <c r="J25" s="10"/>
      <c r="K25" s="6" t="s">
        <v>243</v>
      </c>
      <c r="L25" s="6" t="s">
        <v>244</v>
      </c>
      <c r="M25" s="6" t="s">
        <v>28</v>
      </c>
      <c r="N25" s="6" t="s">
        <v>245</v>
      </c>
      <c r="O25" s="9" t="s">
        <v>246</v>
      </c>
    </row>
    <row r="26" ht="22.5" customHeight="1">
      <c r="A26" s="33" t="s">
        <v>14</v>
      </c>
      <c r="B26" s="6" t="s">
        <v>28</v>
      </c>
      <c r="C26" s="6" t="s">
        <v>247</v>
      </c>
      <c r="D26" s="6" t="s">
        <v>248</v>
      </c>
      <c r="E26" s="7" t="str">
        <f>IFERROR(__xludf.DUMMYFUNCTION("""72."" &amp;+ REGEXEXTRACT(D26, ""\((\d*)\)"")"),"72.025")</f>
        <v>72.025</v>
      </c>
      <c r="F26" s="8" t="s">
        <v>249</v>
      </c>
      <c r="G26" s="6" t="s">
        <v>250</v>
      </c>
      <c r="H26" s="8" t="s">
        <v>251</v>
      </c>
      <c r="I26" s="10"/>
      <c r="J26" s="10"/>
      <c r="K26" s="6" t="s">
        <v>252</v>
      </c>
      <c r="L26" s="6" t="s">
        <v>28</v>
      </c>
      <c r="M26" s="6" t="s">
        <v>28</v>
      </c>
      <c r="N26" s="6" t="s">
        <v>28</v>
      </c>
      <c r="O26" s="9" t="s">
        <v>253</v>
      </c>
    </row>
    <row r="27" ht="22.5" customHeight="1">
      <c r="A27" s="34"/>
      <c r="B27" s="6" t="s">
        <v>28</v>
      </c>
      <c r="C27" s="6" t="s">
        <v>254</v>
      </c>
      <c r="D27" s="6" t="s">
        <v>255</v>
      </c>
      <c r="E27" s="7" t="str">
        <f>IFERROR(__xludf.DUMMYFUNCTION("""72."" &amp;+ REGEXEXTRACT(D27, ""\((\d*)\)"")"),"72.026")</f>
        <v>72.026</v>
      </c>
      <c r="F27" s="8" t="s">
        <v>256</v>
      </c>
      <c r="G27" s="6" t="s">
        <v>241</v>
      </c>
      <c r="H27" s="8" t="s">
        <v>242</v>
      </c>
      <c r="I27" s="10"/>
      <c r="J27" s="10"/>
      <c r="K27" s="6" t="s">
        <v>28</v>
      </c>
      <c r="L27" s="6" t="s">
        <v>257</v>
      </c>
      <c r="M27" s="6" t="s">
        <v>28</v>
      </c>
      <c r="N27" s="6" t="s">
        <v>258</v>
      </c>
      <c r="O27" s="9" t="s">
        <v>259</v>
      </c>
    </row>
    <row r="28" ht="22.5" customHeight="1">
      <c r="A28" s="35" t="s">
        <v>14</v>
      </c>
      <c r="B28" s="6" t="s">
        <v>28</v>
      </c>
      <c r="C28" s="6" t="s">
        <v>260</v>
      </c>
      <c r="D28" s="6" t="s">
        <v>261</v>
      </c>
      <c r="E28" s="7" t="str">
        <f>IFERROR(__xludf.DUMMYFUNCTION("""72."" &amp;+ REGEXEXTRACT(D28, ""\((\d*)\)"")"),"72.027")</f>
        <v>72.027</v>
      </c>
      <c r="F28" s="8" t="s">
        <v>262</v>
      </c>
      <c r="G28" s="6" t="s">
        <v>263</v>
      </c>
      <c r="H28" s="8" t="s">
        <v>264</v>
      </c>
      <c r="I28" s="10"/>
      <c r="J28" s="10"/>
      <c r="K28" s="6" t="s">
        <v>265</v>
      </c>
      <c r="L28" s="6" t="s">
        <v>266</v>
      </c>
      <c r="M28" s="6" t="s">
        <v>28</v>
      </c>
      <c r="N28" s="6" t="s">
        <v>28</v>
      </c>
      <c r="O28" s="9" t="s">
        <v>267</v>
      </c>
    </row>
    <row r="29" ht="22.5" customHeight="1">
      <c r="A29" s="36" t="s">
        <v>14</v>
      </c>
      <c r="B29" s="6" t="s">
        <v>268</v>
      </c>
      <c r="C29" s="6" t="s">
        <v>269</v>
      </c>
      <c r="D29" s="6" t="s">
        <v>270</v>
      </c>
      <c r="E29" s="7" t="str">
        <f>IFERROR(__xludf.DUMMYFUNCTION("""72."" &amp;+ REGEXEXTRACT(D29, ""\((\d*)\)"")"),"72.028")</f>
        <v>72.028</v>
      </c>
      <c r="F29" s="8" t="s">
        <v>271</v>
      </c>
      <c r="G29" s="6" t="s">
        <v>272</v>
      </c>
      <c r="H29" s="8" t="s">
        <v>273</v>
      </c>
      <c r="I29" s="10"/>
      <c r="J29" s="10"/>
      <c r="K29" s="6" t="s">
        <v>274</v>
      </c>
      <c r="L29" s="6" t="s">
        <v>275</v>
      </c>
      <c r="M29" s="6" t="s">
        <v>276</v>
      </c>
      <c r="N29" s="6" t="s">
        <v>277</v>
      </c>
      <c r="O29" s="9" t="s">
        <v>278</v>
      </c>
    </row>
    <row r="30" ht="22.5" customHeight="1">
      <c r="A30" s="37" t="s">
        <v>14</v>
      </c>
      <c r="B30" s="6" t="s">
        <v>279</v>
      </c>
      <c r="C30" s="6" t="s">
        <v>280</v>
      </c>
      <c r="D30" s="6" t="s">
        <v>281</v>
      </c>
      <c r="E30" s="7" t="str">
        <f>IFERROR(__xludf.DUMMYFUNCTION("""72."" &amp;+ REGEXEXTRACT(D30, ""\((\d*)\)"")"),"72.029")</f>
        <v>72.029</v>
      </c>
      <c r="F30" s="8" t="s">
        <v>282</v>
      </c>
      <c r="G30" s="6" t="s">
        <v>283</v>
      </c>
      <c r="H30" s="8" t="s">
        <v>284</v>
      </c>
      <c r="I30" s="8" t="s">
        <v>285</v>
      </c>
      <c r="J30" s="8" t="s">
        <v>286</v>
      </c>
      <c r="K30" s="6" t="s">
        <v>287</v>
      </c>
      <c r="L30" s="6" t="s">
        <v>288</v>
      </c>
      <c r="M30" s="6" t="s">
        <v>28</v>
      </c>
      <c r="N30" s="6" t="s">
        <v>289</v>
      </c>
      <c r="O30" s="9" t="s">
        <v>290</v>
      </c>
    </row>
    <row r="31" ht="22.5" customHeight="1">
      <c r="A31" s="38" t="s">
        <v>14</v>
      </c>
      <c r="B31" s="6" t="s">
        <v>291</v>
      </c>
      <c r="C31" s="6" t="s">
        <v>292</v>
      </c>
      <c r="D31" s="6" t="s">
        <v>293</v>
      </c>
      <c r="E31" s="7" t="str">
        <f>IFERROR(__xludf.DUMMYFUNCTION("""72."" &amp;+ REGEXEXTRACT(D31, ""\((\d*)\)"")"),"72.030")</f>
        <v>72.030</v>
      </c>
      <c r="F31" s="8" t="s">
        <v>294</v>
      </c>
      <c r="G31" s="6" t="s">
        <v>295</v>
      </c>
      <c r="H31" s="8" t="s">
        <v>296</v>
      </c>
      <c r="I31" s="8" t="s">
        <v>297</v>
      </c>
      <c r="J31" s="8" t="s">
        <v>298</v>
      </c>
      <c r="K31" s="6" t="s">
        <v>299</v>
      </c>
      <c r="L31" s="6" t="s">
        <v>300</v>
      </c>
      <c r="M31" s="6" t="s">
        <v>28</v>
      </c>
      <c r="N31" s="6" t="s">
        <v>301</v>
      </c>
      <c r="O31" s="9" t="s">
        <v>302</v>
      </c>
    </row>
    <row r="32" ht="22.5" customHeight="1">
      <c r="A32" s="39" t="s">
        <v>14</v>
      </c>
      <c r="B32" s="6" t="s">
        <v>303</v>
      </c>
      <c r="C32" s="6" t="s">
        <v>304</v>
      </c>
      <c r="D32" s="6" t="s">
        <v>305</v>
      </c>
      <c r="E32" s="7" t="str">
        <f>IFERROR(__xludf.DUMMYFUNCTION("""72."" &amp;+ REGEXEXTRACT(D32, ""\((\d*)\)"")"),"72.031")</f>
        <v>72.031</v>
      </c>
      <c r="F32" s="8" t="s">
        <v>306</v>
      </c>
      <c r="G32" s="6" t="s">
        <v>307</v>
      </c>
      <c r="H32" s="8" t="s">
        <v>308</v>
      </c>
      <c r="I32" s="10"/>
      <c r="J32" s="10"/>
      <c r="K32" s="6" t="s">
        <v>28</v>
      </c>
      <c r="L32" s="6" t="s">
        <v>309</v>
      </c>
      <c r="M32" s="6" t="s">
        <v>28</v>
      </c>
      <c r="N32" s="6" t="s">
        <v>28</v>
      </c>
      <c r="O32" s="9" t="s">
        <v>310</v>
      </c>
    </row>
    <row r="33" ht="22.5" customHeight="1">
      <c r="A33" s="40" t="s">
        <v>14</v>
      </c>
      <c r="B33" s="6" t="s">
        <v>311</v>
      </c>
      <c r="C33" s="6" t="s">
        <v>312</v>
      </c>
      <c r="D33" s="6" t="s">
        <v>313</v>
      </c>
      <c r="E33" s="7" t="str">
        <f>IFERROR(__xludf.DUMMYFUNCTION("""72."" &amp;+ REGEXEXTRACT(D33, ""\((\d*)\)"")"),"72.032")</f>
        <v>72.032</v>
      </c>
      <c r="F33" s="8" t="s">
        <v>314</v>
      </c>
      <c r="G33" s="6" t="s">
        <v>315</v>
      </c>
      <c r="H33" s="8" t="s">
        <v>316</v>
      </c>
      <c r="I33" s="10"/>
      <c r="J33" s="10"/>
      <c r="K33" s="6" t="s">
        <v>317</v>
      </c>
      <c r="L33" s="6" t="s">
        <v>318</v>
      </c>
      <c r="M33" s="6" t="s">
        <v>28</v>
      </c>
      <c r="N33" s="6" t="s">
        <v>319</v>
      </c>
      <c r="O33" s="9" t="s">
        <v>320</v>
      </c>
    </row>
    <row r="34" ht="22.5" customHeight="1">
      <c r="A34" s="41" t="s">
        <v>14</v>
      </c>
      <c r="B34" s="6" t="s">
        <v>28</v>
      </c>
      <c r="C34" s="6" t="s">
        <v>321</v>
      </c>
      <c r="D34" s="6" t="s">
        <v>322</v>
      </c>
      <c r="E34" s="7" t="str">
        <f>IFERROR(__xludf.DUMMYFUNCTION("""72."" &amp;+ REGEXEXTRACT(D34, ""\((\d*)\)"")"),"72.033")</f>
        <v>72.033</v>
      </c>
      <c r="F34" s="8" t="s">
        <v>323</v>
      </c>
      <c r="G34" s="6" t="s">
        <v>324</v>
      </c>
      <c r="H34" s="8" t="s">
        <v>325</v>
      </c>
      <c r="I34" s="10"/>
      <c r="J34" s="10"/>
      <c r="K34" s="6" t="s">
        <v>326</v>
      </c>
      <c r="L34" s="6" t="s">
        <v>327</v>
      </c>
      <c r="M34" s="6" t="s">
        <v>28</v>
      </c>
      <c r="N34" s="6" t="s">
        <v>28</v>
      </c>
      <c r="O34" s="9" t="s">
        <v>328</v>
      </c>
    </row>
    <row r="35" ht="22.5" customHeight="1">
      <c r="A35" s="42" t="s">
        <v>14</v>
      </c>
      <c r="B35" s="6" t="s">
        <v>329</v>
      </c>
      <c r="C35" s="6" t="s">
        <v>330</v>
      </c>
      <c r="D35" s="6" t="s">
        <v>331</v>
      </c>
      <c r="E35" s="7" t="str">
        <f>IFERROR(__xludf.DUMMYFUNCTION("""72."" &amp;+ REGEXEXTRACT(D35, ""\((\d*)\)"")"),"72.034")</f>
        <v>72.034</v>
      </c>
      <c r="F35" s="8" t="s">
        <v>332</v>
      </c>
      <c r="G35" s="6" t="s">
        <v>333</v>
      </c>
      <c r="H35" s="8" t="s">
        <v>334</v>
      </c>
      <c r="I35" s="10"/>
      <c r="J35" s="10"/>
      <c r="K35" s="6" t="s">
        <v>335</v>
      </c>
      <c r="L35" s="6" t="s">
        <v>336</v>
      </c>
      <c r="M35" s="6" t="s">
        <v>337</v>
      </c>
      <c r="N35" s="6" t="s">
        <v>338</v>
      </c>
      <c r="O35" s="9" t="s">
        <v>339</v>
      </c>
    </row>
    <row r="36" ht="22.5" customHeight="1">
      <c r="A36" s="43" t="s">
        <v>14</v>
      </c>
      <c r="B36" s="6" t="s">
        <v>340</v>
      </c>
      <c r="C36" s="6" t="s">
        <v>341</v>
      </c>
      <c r="D36" s="6" t="s">
        <v>342</v>
      </c>
      <c r="E36" s="7" t="str">
        <f>IFERROR(__xludf.DUMMYFUNCTION("""72."" &amp;+ REGEXEXTRACT(D36, ""\((\d*)\)"")"),"72.035")</f>
        <v>72.035</v>
      </c>
      <c r="F36" s="8" t="s">
        <v>343</v>
      </c>
      <c r="G36" s="6" t="s">
        <v>344</v>
      </c>
      <c r="H36" s="8" t="s">
        <v>345</v>
      </c>
      <c r="I36" s="10"/>
      <c r="J36" s="10"/>
      <c r="K36" s="6" t="s">
        <v>346</v>
      </c>
      <c r="L36" s="6" t="s">
        <v>347</v>
      </c>
      <c r="M36" s="6" t="s">
        <v>28</v>
      </c>
      <c r="N36" s="6" t="s">
        <v>348</v>
      </c>
      <c r="O36" s="9" t="s">
        <v>349</v>
      </c>
    </row>
    <row r="37" ht="22.5" customHeight="1">
      <c r="A37" s="44" t="s">
        <v>14</v>
      </c>
      <c r="B37" s="6" t="s">
        <v>28</v>
      </c>
      <c r="C37" s="6" t="s">
        <v>350</v>
      </c>
      <c r="D37" s="6" t="s">
        <v>351</v>
      </c>
      <c r="E37" s="7" t="str">
        <f>IFERROR(__xludf.DUMMYFUNCTION("""72."" &amp;+ REGEXEXTRACT(D37, ""\((\d*)\)"")"),"72.036")</f>
        <v>72.036</v>
      </c>
      <c r="F37" s="8" t="s">
        <v>352</v>
      </c>
      <c r="G37" s="6" t="s">
        <v>353</v>
      </c>
      <c r="H37" s="8" t="s">
        <v>354</v>
      </c>
      <c r="I37" s="10"/>
      <c r="J37" s="10"/>
      <c r="K37" s="6" t="s">
        <v>28</v>
      </c>
      <c r="L37" s="6" t="s">
        <v>355</v>
      </c>
      <c r="M37" s="6" t="s">
        <v>28</v>
      </c>
      <c r="N37" s="6" t="s">
        <v>356</v>
      </c>
      <c r="O37" s="9" t="s">
        <v>357</v>
      </c>
    </row>
    <row r="38" ht="22.5" customHeight="1">
      <c r="A38" s="45" t="s">
        <v>14</v>
      </c>
      <c r="B38" s="6" t="s">
        <v>358</v>
      </c>
      <c r="C38" s="6" t="s">
        <v>359</v>
      </c>
      <c r="D38" s="6" t="s">
        <v>360</v>
      </c>
      <c r="E38" s="7" t="str">
        <f>IFERROR(__xludf.DUMMYFUNCTION("""72."" &amp;+ REGEXEXTRACT(D38, ""\((\d*)\)"")"),"72.037")</f>
        <v>72.037</v>
      </c>
      <c r="F38" s="8" t="s">
        <v>361</v>
      </c>
      <c r="G38" s="6" t="s">
        <v>362</v>
      </c>
      <c r="H38" s="8" t="s">
        <v>363</v>
      </c>
      <c r="I38" s="10"/>
      <c r="J38" s="10"/>
      <c r="K38" s="6" t="s">
        <v>364</v>
      </c>
      <c r="L38" s="6" t="s">
        <v>365</v>
      </c>
      <c r="M38" s="6" t="s">
        <v>28</v>
      </c>
      <c r="N38" s="6" t="s">
        <v>366</v>
      </c>
      <c r="O38" s="9" t="s">
        <v>367</v>
      </c>
    </row>
    <row r="39" ht="22.5" customHeight="1">
      <c r="A39" s="46" t="s">
        <v>14</v>
      </c>
      <c r="B39" s="6" t="s">
        <v>28</v>
      </c>
      <c r="C39" s="6" t="s">
        <v>368</v>
      </c>
      <c r="D39" s="6" t="s">
        <v>369</v>
      </c>
      <c r="E39" s="7" t="str">
        <f>IFERROR(__xludf.DUMMYFUNCTION("""72."" &amp;+ REGEXEXTRACT(D39, ""\((\d*)\)"")"),"72.038")</f>
        <v>72.038</v>
      </c>
      <c r="F39" s="8" t="s">
        <v>370</v>
      </c>
      <c r="G39" s="6" t="s">
        <v>371</v>
      </c>
      <c r="H39" s="8" t="s">
        <v>372</v>
      </c>
      <c r="I39" s="8" t="s">
        <v>373</v>
      </c>
      <c r="J39" s="8" t="s">
        <v>374</v>
      </c>
      <c r="K39" s="6" t="s">
        <v>28</v>
      </c>
      <c r="L39" s="6" t="s">
        <v>375</v>
      </c>
      <c r="M39" s="6" t="s">
        <v>28</v>
      </c>
      <c r="N39" s="6" t="s">
        <v>376</v>
      </c>
      <c r="O39" s="9" t="s">
        <v>377</v>
      </c>
    </row>
    <row r="40" ht="22.5" customHeight="1">
      <c r="A40" s="47" t="s">
        <v>14</v>
      </c>
      <c r="B40" s="6" t="s">
        <v>378</v>
      </c>
      <c r="C40" s="6" t="s">
        <v>379</v>
      </c>
      <c r="D40" s="6" t="s">
        <v>380</v>
      </c>
      <c r="E40" s="7" t="str">
        <f>IFERROR(__xludf.DUMMYFUNCTION("""72."" &amp;+ REGEXEXTRACT(D40, ""\((\d*)\)"")"),"72.039")</f>
        <v>72.039</v>
      </c>
      <c r="F40" s="8" t="s">
        <v>381</v>
      </c>
      <c r="G40" s="6" t="s">
        <v>382</v>
      </c>
      <c r="H40" s="8" t="s">
        <v>383</v>
      </c>
      <c r="I40" s="10"/>
      <c r="J40" s="10"/>
      <c r="K40" s="6" t="s">
        <v>384</v>
      </c>
      <c r="L40" s="6" t="s">
        <v>385</v>
      </c>
      <c r="M40" s="6" t="s">
        <v>28</v>
      </c>
      <c r="N40" s="6" t="s">
        <v>386</v>
      </c>
      <c r="O40" s="9" t="s">
        <v>387</v>
      </c>
    </row>
    <row r="41" ht="22.5" customHeight="1">
      <c r="A41" s="48" t="s">
        <v>14</v>
      </c>
      <c r="B41" s="6" t="s">
        <v>388</v>
      </c>
      <c r="C41" s="6" t="s">
        <v>389</v>
      </c>
      <c r="D41" s="6" t="s">
        <v>390</v>
      </c>
      <c r="E41" s="7" t="str">
        <f>IFERROR(__xludf.DUMMYFUNCTION("""72."" &amp;+ REGEXEXTRACT(D41, ""\((\d*)\)"")"),"72.040")</f>
        <v>72.040</v>
      </c>
      <c r="F41" s="8" t="s">
        <v>391</v>
      </c>
      <c r="G41" s="6" t="s">
        <v>392</v>
      </c>
      <c r="H41" s="8" t="s">
        <v>393</v>
      </c>
      <c r="I41" s="10"/>
      <c r="J41" s="10"/>
      <c r="K41" s="6" t="s">
        <v>394</v>
      </c>
      <c r="L41" s="6" t="s">
        <v>395</v>
      </c>
      <c r="M41" s="6" t="s">
        <v>28</v>
      </c>
      <c r="N41" s="6" t="s">
        <v>396</v>
      </c>
      <c r="O41" s="9" t="s">
        <v>397</v>
      </c>
    </row>
    <row r="42" ht="22.5" customHeight="1">
      <c r="A42" s="49" t="s">
        <v>14</v>
      </c>
      <c r="B42" s="6" t="s">
        <v>398</v>
      </c>
      <c r="C42" s="6" t="s">
        <v>399</v>
      </c>
      <c r="D42" s="6" t="s">
        <v>400</v>
      </c>
      <c r="E42" s="7" t="str">
        <f>IFERROR(__xludf.DUMMYFUNCTION("""72."" &amp;+ REGEXEXTRACT(D42, ""\((\d*)\)"")"),"72.041")</f>
        <v>72.041</v>
      </c>
      <c r="F42" s="8" t="s">
        <v>401</v>
      </c>
      <c r="G42" s="6" t="s">
        <v>402</v>
      </c>
      <c r="H42" s="8" t="s">
        <v>403</v>
      </c>
      <c r="I42" s="10"/>
      <c r="J42" s="10"/>
      <c r="K42" s="6" t="s">
        <v>28</v>
      </c>
      <c r="L42" s="6" t="s">
        <v>404</v>
      </c>
      <c r="M42" s="6" t="s">
        <v>28</v>
      </c>
      <c r="N42" s="6" t="s">
        <v>405</v>
      </c>
      <c r="O42" s="9" t="s">
        <v>406</v>
      </c>
    </row>
    <row r="43" ht="22.5" customHeight="1">
      <c r="A43" s="50" t="s">
        <v>14</v>
      </c>
      <c r="B43" s="6" t="s">
        <v>407</v>
      </c>
      <c r="C43" s="6" t="s">
        <v>408</v>
      </c>
      <c r="D43" s="6" t="s">
        <v>409</v>
      </c>
      <c r="E43" s="7" t="str">
        <f>IFERROR(__xludf.DUMMYFUNCTION("""72."" &amp;+ REGEXEXTRACT(D43, ""\((\d*)\)"")"),"72.042")</f>
        <v>72.042</v>
      </c>
      <c r="F43" s="8" t="s">
        <v>410</v>
      </c>
      <c r="G43" s="6" t="s">
        <v>411</v>
      </c>
      <c r="H43" s="8" t="s">
        <v>412</v>
      </c>
      <c r="I43" s="10"/>
      <c r="J43" s="10"/>
      <c r="K43" s="6" t="s">
        <v>413</v>
      </c>
      <c r="L43" s="6" t="s">
        <v>414</v>
      </c>
      <c r="M43" s="6" t="s">
        <v>28</v>
      </c>
      <c r="N43" s="6" t="s">
        <v>415</v>
      </c>
      <c r="O43" s="9" t="s">
        <v>416</v>
      </c>
    </row>
    <row r="44" ht="22.5" customHeight="1">
      <c r="A44" s="51" t="s">
        <v>14</v>
      </c>
      <c r="B44" s="6" t="s">
        <v>417</v>
      </c>
      <c r="C44" s="6" t="s">
        <v>418</v>
      </c>
      <c r="D44" s="6" t="s">
        <v>419</v>
      </c>
      <c r="E44" s="7" t="str">
        <f>IFERROR(__xludf.DUMMYFUNCTION("""72."" &amp;+ REGEXEXTRACT(D44, ""\((\d*)\)"")"),"72.043")</f>
        <v>72.043</v>
      </c>
      <c r="F44" s="8" t="s">
        <v>420</v>
      </c>
      <c r="G44" s="6" t="s">
        <v>421</v>
      </c>
      <c r="H44" s="8" t="s">
        <v>422</v>
      </c>
      <c r="I44" s="8" t="s">
        <v>423</v>
      </c>
      <c r="J44" s="8" t="s">
        <v>424</v>
      </c>
      <c r="K44" s="6" t="s">
        <v>425</v>
      </c>
      <c r="L44" s="6" t="s">
        <v>426</v>
      </c>
      <c r="M44" s="6" t="s">
        <v>28</v>
      </c>
      <c r="N44" s="6" t="s">
        <v>427</v>
      </c>
      <c r="O44" s="9" t="s">
        <v>428</v>
      </c>
    </row>
    <row r="45" ht="22.5" customHeight="1">
      <c r="A45" s="52" t="s">
        <v>14</v>
      </c>
      <c r="B45" s="6" t="s">
        <v>429</v>
      </c>
      <c r="C45" s="6" t="s">
        <v>430</v>
      </c>
      <c r="D45" s="6" t="s">
        <v>431</v>
      </c>
      <c r="E45" s="7" t="str">
        <f>IFERROR(__xludf.DUMMYFUNCTION("""72."" &amp;+ REGEXEXTRACT(D45, ""\((\d*)\)"")"),"72.044")</f>
        <v>72.044</v>
      </c>
      <c r="F45" s="8" t="s">
        <v>432</v>
      </c>
      <c r="G45" s="6" t="s">
        <v>433</v>
      </c>
      <c r="H45" s="8" t="s">
        <v>434</v>
      </c>
      <c r="I45" s="10"/>
      <c r="J45" s="10"/>
      <c r="K45" s="6" t="s">
        <v>435</v>
      </c>
      <c r="L45" s="6" t="s">
        <v>436</v>
      </c>
      <c r="M45" s="6" t="s">
        <v>28</v>
      </c>
      <c r="N45" s="6" t="s">
        <v>28</v>
      </c>
      <c r="O45" s="9" t="s">
        <v>437</v>
      </c>
    </row>
    <row r="46" ht="22.5" customHeight="1">
      <c r="A46" s="53" t="s">
        <v>14</v>
      </c>
      <c r="B46" s="6" t="s">
        <v>438</v>
      </c>
      <c r="C46" s="6" t="s">
        <v>439</v>
      </c>
      <c r="D46" s="6" t="s">
        <v>440</v>
      </c>
      <c r="E46" s="7" t="str">
        <f>IFERROR(__xludf.DUMMYFUNCTION("""72."" &amp;+ REGEXEXTRACT(D46, ""\((\d*)\)"")"),"72.045")</f>
        <v>72.045</v>
      </c>
      <c r="F46" s="8" t="s">
        <v>441</v>
      </c>
      <c r="G46" s="6" t="s">
        <v>442</v>
      </c>
      <c r="H46" s="8" t="s">
        <v>443</v>
      </c>
      <c r="I46" s="8" t="s">
        <v>444</v>
      </c>
      <c r="J46" s="8" t="s">
        <v>445</v>
      </c>
      <c r="K46" s="6" t="s">
        <v>446</v>
      </c>
      <c r="L46" s="6" t="s">
        <v>447</v>
      </c>
      <c r="M46" s="6" t="s">
        <v>448</v>
      </c>
      <c r="N46" s="6" t="s">
        <v>28</v>
      </c>
      <c r="O46" s="9" t="s">
        <v>449</v>
      </c>
    </row>
    <row r="47" ht="22.5" customHeight="1">
      <c r="A47" s="54" t="s">
        <v>14</v>
      </c>
      <c r="B47" s="6" t="s">
        <v>28</v>
      </c>
      <c r="C47" s="6" t="s">
        <v>450</v>
      </c>
      <c r="D47" s="6" t="s">
        <v>451</v>
      </c>
      <c r="E47" s="7" t="str">
        <f>IFERROR(__xludf.DUMMYFUNCTION("""72."" &amp;+ REGEXEXTRACT(D47, ""\((\d*)\)"")"),"72.046")</f>
        <v>72.046</v>
      </c>
      <c r="F47" s="8" t="s">
        <v>452</v>
      </c>
      <c r="G47" s="6" t="s">
        <v>453</v>
      </c>
      <c r="H47" s="8" t="s">
        <v>454</v>
      </c>
      <c r="I47" s="10"/>
      <c r="J47" s="10"/>
      <c r="K47" s="6" t="s">
        <v>28</v>
      </c>
      <c r="L47" s="6" t="s">
        <v>455</v>
      </c>
      <c r="M47" s="6" t="s">
        <v>28</v>
      </c>
      <c r="N47" s="6" t="s">
        <v>28</v>
      </c>
      <c r="O47" s="9" t="s">
        <v>456</v>
      </c>
    </row>
    <row r="48" ht="22.5" customHeight="1">
      <c r="A48" s="55" t="s">
        <v>14</v>
      </c>
      <c r="B48" s="6" t="s">
        <v>457</v>
      </c>
      <c r="C48" s="6" t="s">
        <v>458</v>
      </c>
      <c r="D48" s="6" t="s">
        <v>459</v>
      </c>
      <c r="E48" s="7" t="str">
        <f>IFERROR(__xludf.DUMMYFUNCTION("""72."" &amp;+ REGEXEXTRACT(D48, ""\((\d*)\)"")"),"72.047")</f>
        <v>72.047</v>
      </c>
      <c r="F48" s="8" t="s">
        <v>460</v>
      </c>
      <c r="G48" s="6" t="s">
        <v>461</v>
      </c>
      <c r="H48" s="8" t="s">
        <v>462</v>
      </c>
      <c r="I48" s="8" t="s">
        <v>463</v>
      </c>
      <c r="J48" s="8" t="s">
        <v>464</v>
      </c>
      <c r="K48" s="6" t="s">
        <v>28</v>
      </c>
      <c r="L48" s="6" t="s">
        <v>465</v>
      </c>
      <c r="M48" s="6" t="s">
        <v>28</v>
      </c>
      <c r="N48" s="6" t="s">
        <v>466</v>
      </c>
      <c r="O48" s="9" t="s">
        <v>467</v>
      </c>
    </row>
    <row r="49" ht="22.5" customHeight="1">
      <c r="A49" s="56" t="s">
        <v>14</v>
      </c>
      <c r="B49" s="6" t="s">
        <v>468</v>
      </c>
      <c r="C49" s="6" t="s">
        <v>469</v>
      </c>
      <c r="D49" s="6" t="s">
        <v>470</v>
      </c>
      <c r="E49" s="7" t="str">
        <f>IFERROR(__xludf.DUMMYFUNCTION("""72."" &amp;+ REGEXEXTRACT(D49, ""\((\d*)\)"")"),"72.048")</f>
        <v>72.048</v>
      </c>
      <c r="F49" s="8" t="s">
        <v>471</v>
      </c>
      <c r="G49" s="6" t="s">
        <v>472</v>
      </c>
      <c r="H49" s="8" t="s">
        <v>473</v>
      </c>
      <c r="I49" s="10"/>
      <c r="J49" s="10"/>
      <c r="K49" s="6" t="s">
        <v>28</v>
      </c>
      <c r="L49" s="6" t="s">
        <v>474</v>
      </c>
      <c r="M49" s="6" t="s">
        <v>28</v>
      </c>
      <c r="N49" s="6" t="s">
        <v>475</v>
      </c>
      <c r="O49" s="57"/>
    </row>
    <row r="50" ht="22.5" customHeight="1">
      <c r="A50" s="58"/>
      <c r="B50" s="6" t="s">
        <v>476</v>
      </c>
      <c r="C50" s="6" t="s">
        <v>477</v>
      </c>
      <c r="D50" s="6" t="s">
        <v>478</v>
      </c>
      <c r="E50" s="7" t="str">
        <f>IFERROR(__xludf.DUMMYFUNCTION("""72."" &amp;+ REGEXEXTRACT(D50, ""\((\d*)\)"")"),"72.049")</f>
        <v>72.049</v>
      </c>
      <c r="F50" s="8" t="s">
        <v>479</v>
      </c>
      <c r="G50" s="6" t="s">
        <v>480</v>
      </c>
      <c r="H50" s="8" t="s">
        <v>462</v>
      </c>
      <c r="I50" s="8" t="s">
        <v>463</v>
      </c>
      <c r="J50" s="8" t="s">
        <v>464</v>
      </c>
      <c r="K50" s="6" t="s">
        <v>481</v>
      </c>
      <c r="L50" s="6" t="s">
        <v>482</v>
      </c>
      <c r="M50" s="6" t="s">
        <v>28</v>
      </c>
      <c r="N50" s="6" t="s">
        <v>28</v>
      </c>
      <c r="O50" s="9" t="s">
        <v>483</v>
      </c>
    </row>
    <row r="51" ht="22.5" customHeight="1">
      <c r="A51" s="59" t="s">
        <v>14</v>
      </c>
      <c r="B51" s="6" t="s">
        <v>484</v>
      </c>
      <c r="C51" s="6" t="s">
        <v>485</v>
      </c>
      <c r="D51" s="6" t="s">
        <v>486</v>
      </c>
      <c r="E51" s="7" t="str">
        <f>IFERROR(__xludf.DUMMYFUNCTION("""72."" &amp;+ REGEXEXTRACT(D51, ""\((\d*)\)"")"),"72.050")</f>
        <v>72.050</v>
      </c>
      <c r="F51" s="8" t="s">
        <v>487</v>
      </c>
      <c r="G51" s="6" t="s">
        <v>488</v>
      </c>
      <c r="H51" s="8" t="s">
        <v>489</v>
      </c>
      <c r="I51" s="8" t="s">
        <v>490</v>
      </c>
      <c r="J51" s="8" t="s">
        <v>491</v>
      </c>
      <c r="K51" s="6" t="s">
        <v>492</v>
      </c>
      <c r="L51" s="6" t="s">
        <v>493</v>
      </c>
      <c r="M51" s="6" t="s">
        <v>28</v>
      </c>
      <c r="N51" s="6" t="s">
        <v>28</v>
      </c>
      <c r="O51" s="9" t="s">
        <v>494</v>
      </c>
    </row>
    <row r="52" ht="22.5" customHeight="1">
      <c r="A52" s="60" t="s">
        <v>14</v>
      </c>
      <c r="B52" s="6" t="s">
        <v>495</v>
      </c>
      <c r="C52" s="6" t="s">
        <v>496</v>
      </c>
      <c r="D52" s="6" t="s">
        <v>497</v>
      </c>
      <c r="E52" s="7" t="str">
        <f>IFERROR(__xludf.DUMMYFUNCTION("""72."" &amp;+ REGEXEXTRACT(D52, ""\((\d*)\)"")"),"72.051")</f>
        <v>72.051</v>
      </c>
      <c r="F52" s="8" t="s">
        <v>498</v>
      </c>
      <c r="G52" s="6" t="s">
        <v>499</v>
      </c>
      <c r="H52" s="8" t="s">
        <v>500</v>
      </c>
      <c r="I52" s="8" t="s">
        <v>501</v>
      </c>
      <c r="J52" s="8" t="s">
        <v>502</v>
      </c>
      <c r="K52" s="6" t="s">
        <v>503</v>
      </c>
      <c r="L52" s="6" t="s">
        <v>504</v>
      </c>
      <c r="M52" s="6" t="s">
        <v>505</v>
      </c>
      <c r="N52" s="6" t="s">
        <v>506</v>
      </c>
      <c r="O52" s="9" t="s">
        <v>507</v>
      </c>
    </row>
    <row r="53" ht="22.5" customHeight="1">
      <c r="A53" s="61" t="s">
        <v>14</v>
      </c>
      <c r="B53" s="6" t="s">
        <v>508</v>
      </c>
      <c r="C53" s="6" t="s">
        <v>509</v>
      </c>
      <c r="D53" s="6" t="s">
        <v>510</v>
      </c>
      <c r="E53" s="7" t="str">
        <f>IFERROR(__xludf.DUMMYFUNCTION("""72."" &amp;+ REGEXEXTRACT(D53, ""\((\d*)\)"")"),"72.052")</f>
        <v>72.052</v>
      </c>
      <c r="F53" s="8" t="s">
        <v>511</v>
      </c>
      <c r="G53" s="6" t="s">
        <v>512</v>
      </c>
      <c r="H53" s="8" t="s">
        <v>513</v>
      </c>
      <c r="I53" s="8" t="s">
        <v>514</v>
      </c>
      <c r="J53" s="8" t="s">
        <v>515</v>
      </c>
      <c r="K53" s="6" t="s">
        <v>516</v>
      </c>
      <c r="L53" s="6" t="s">
        <v>517</v>
      </c>
      <c r="M53" s="6" t="s">
        <v>28</v>
      </c>
      <c r="N53" s="6" t="s">
        <v>518</v>
      </c>
      <c r="O53" s="9" t="s">
        <v>519</v>
      </c>
    </row>
    <row r="54" ht="22.5" customHeight="1">
      <c r="A54" s="62" t="s">
        <v>14</v>
      </c>
      <c r="B54" s="6" t="s">
        <v>520</v>
      </c>
      <c r="C54" s="6" t="s">
        <v>521</v>
      </c>
      <c r="D54" s="6" t="s">
        <v>522</v>
      </c>
      <c r="E54" s="7" t="str">
        <f>IFERROR(__xludf.DUMMYFUNCTION("""72."" &amp;+ REGEXEXTRACT(D54, ""\((\d*)\)"")"),"72.053")</f>
        <v>72.053</v>
      </c>
      <c r="F54" s="8" t="s">
        <v>523</v>
      </c>
      <c r="G54" s="6" t="s">
        <v>524</v>
      </c>
      <c r="H54" s="8" t="s">
        <v>525</v>
      </c>
      <c r="I54" s="8" t="s">
        <v>526</v>
      </c>
      <c r="J54" s="8" t="s">
        <v>527</v>
      </c>
      <c r="K54" s="6" t="s">
        <v>28</v>
      </c>
      <c r="L54" s="6" t="s">
        <v>528</v>
      </c>
      <c r="M54" s="6" t="s">
        <v>28</v>
      </c>
      <c r="N54" s="6" t="s">
        <v>529</v>
      </c>
      <c r="O54" s="9" t="s">
        <v>530</v>
      </c>
    </row>
    <row r="55" ht="22.5" customHeight="1">
      <c r="A55" s="63" t="s">
        <v>14</v>
      </c>
      <c r="B55" s="6" t="s">
        <v>531</v>
      </c>
      <c r="C55" s="6" t="s">
        <v>532</v>
      </c>
      <c r="D55" s="6" t="s">
        <v>533</v>
      </c>
      <c r="E55" s="7" t="str">
        <f>IFERROR(__xludf.DUMMYFUNCTION("""72."" &amp;+ REGEXEXTRACT(D55, ""\((\d*)\)"")"),"72.054")</f>
        <v>72.054</v>
      </c>
      <c r="F55" s="8" t="s">
        <v>534</v>
      </c>
      <c r="G55" s="6" t="s">
        <v>535</v>
      </c>
      <c r="H55" s="8" t="s">
        <v>536</v>
      </c>
      <c r="I55" s="8" t="s">
        <v>537</v>
      </c>
      <c r="J55" s="8" t="s">
        <v>538</v>
      </c>
      <c r="K55" s="6" t="s">
        <v>28</v>
      </c>
      <c r="L55" s="6" t="s">
        <v>539</v>
      </c>
      <c r="M55" s="6" t="s">
        <v>28</v>
      </c>
      <c r="N55" s="6" t="s">
        <v>540</v>
      </c>
      <c r="O55" s="9" t="s">
        <v>541</v>
      </c>
    </row>
    <row r="56" ht="22.5" customHeight="1">
      <c r="A56" s="64" t="s">
        <v>14</v>
      </c>
      <c r="B56" s="6" t="s">
        <v>542</v>
      </c>
      <c r="C56" s="6" t="s">
        <v>543</v>
      </c>
      <c r="D56" s="6" t="s">
        <v>544</v>
      </c>
      <c r="E56" s="7" t="str">
        <f>IFERROR(__xludf.DUMMYFUNCTION("""72."" &amp;+ REGEXEXTRACT(D56, ""\((\d*)\)"")"),"72.055")</f>
        <v>72.055</v>
      </c>
      <c r="F56" s="8" t="s">
        <v>545</v>
      </c>
      <c r="G56" s="6" t="s">
        <v>546</v>
      </c>
      <c r="H56" s="8" t="s">
        <v>547</v>
      </c>
      <c r="I56" s="8" t="s">
        <v>548</v>
      </c>
      <c r="J56" s="8" t="s">
        <v>549</v>
      </c>
      <c r="K56" s="6" t="s">
        <v>28</v>
      </c>
      <c r="L56" s="6" t="s">
        <v>550</v>
      </c>
      <c r="M56" s="6" t="s">
        <v>551</v>
      </c>
      <c r="N56" s="6" t="s">
        <v>28</v>
      </c>
      <c r="O56" s="9" t="s">
        <v>552</v>
      </c>
    </row>
    <row r="57" ht="22.5" customHeight="1">
      <c r="A57" s="65" t="s">
        <v>14</v>
      </c>
      <c r="B57" s="66" t="s">
        <v>553</v>
      </c>
      <c r="C57" s="66" t="s">
        <v>554</v>
      </c>
      <c r="D57" s="66" t="s">
        <v>555</v>
      </c>
      <c r="E57" s="67" t="str">
        <f>IFERROR(__xludf.DUMMYFUNCTION("""72."" &amp;+ REGEXEXTRACT(D57, ""\((\d*)\)"")"),"72.056")</f>
        <v>72.056</v>
      </c>
      <c r="F57" s="68" t="s">
        <v>556</v>
      </c>
      <c r="G57" s="66" t="s">
        <v>557</v>
      </c>
      <c r="H57" s="68" t="s">
        <v>558</v>
      </c>
      <c r="I57" s="69"/>
      <c r="J57" s="69"/>
      <c r="K57" s="66" t="s">
        <v>28</v>
      </c>
      <c r="L57" s="66" t="s">
        <v>559</v>
      </c>
      <c r="M57" s="66" t="s">
        <v>28</v>
      </c>
      <c r="N57" s="66" t="s">
        <v>560</v>
      </c>
      <c r="O57" s="70" t="s">
        <v>561</v>
      </c>
    </row>
    <row r="58" ht="22.5" customHeight="1">
      <c r="A58" s="71" t="s">
        <v>14</v>
      </c>
      <c r="B58" s="6" t="s">
        <v>562</v>
      </c>
      <c r="C58" s="6" t="s">
        <v>563</v>
      </c>
      <c r="D58" s="6" t="s">
        <v>564</v>
      </c>
      <c r="E58" s="7" t="str">
        <f>IFERROR(__xludf.DUMMYFUNCTION("""72."" &amp;+ REGEXEXTRACT(D58, ""\((\d*)\)"")"),"72.057")</f>
        <v>72.057</v>
      </c>
      <c r="F58" s="8" t="s">
        <v>565</v>
      </c>
      <c r="G58" s="6" t="s">
        <v>566</v>
      </c>
      <c r="H58" s="8" t="s">
        <v>567</v>
      </c>
      <c r="I58" s="10"/>
      <c r="J58" s="10"/>
      <c r="K58" s="6" t="s">
        <v>28</v>
      </c>
      <c r="L58" s="6" t="s">
        <v>568</v>
      </c>
      <c r="M58" s="6" t="s">
        <v>28</v>
      </c>
      <c r="N58" s="6" t="s">
        <v>569</v>
      </c>
      <c r="O58" s="9" t="s">
        <v>570</v>
      </c>
    </row>
    <row r="59" ht="22.5" customHeight="1">
      <c r="A59" s="72" t="s">
        <v>14</v>
      </c>
      <c r="B59" s="6" t="s">
        <v>28</v>
      </c>
      <c r="C59" s="6" t="s">
        <v>571</v>
      </c>
      <c r="D59" s="6" t="s">
        <v>572</v>
      </c>
      <c r="E59" s="7" t="str">
        <f>IFERROR(__xludf.DUMMYFUNCTION("""72."" &amp;+ REGEXEXTRACT(D59, ""\((\d*)\)"")"),"72.058")</f>
        <v>72.058</v>
      </c>
      <c r="F59" s="8" t="s">
        <v>573</v>
      </c>
      <c r="G59" s="6" t="s">
        <v>574</v>
      </c>
      <c r="H59" s="8" t="s">
        <v>575</v>
      </c>
      <c r="I59" s="10"/>
      <c r="J59" s="10"/>
      <c r="K59" s="6" t="s">
        <v>28</v>
      </c>
      <c r="L59" s="6" t="s">
        <v>576</v>
      </c>
      <c r="M59" s="6" t="s">
        <v>28</v>
      </c>
      <c r="N59" s="6" t="s">
        <v>577</v>
      </c>
      <c r="O59" s="9" t="s">
        <v>578</v>
      </c>
    </row>
    <row r="60" ht="22.5" customHeight="1">
      <c r="A60" s="73" t="s">
        <v>14</v>
      </c>
      <c r="B60" s="6" t="s">
        <v>28</v>
      </c>
      <c r="C60" s="6" t="s">
        <v>579</v>
      </c>
      <c r="D60" s="6" t="s">
        <v>580</v>
      </c>
      <c r="E60" s="7" t="str">
        <f>IFERROR(__xludf.DUMMYFUNCTION("""72."" &amp;+ REGEXEXTRACT(D60, ""\((\d*)\)"")"),"72.059")</f>
        <v>72.059</v>
      </c>
      <c r="F60" s="8" t="s">
        <v>581</v>
      </c>
      <c r="G60" s="6" t="s">
        <v>582</v>
      </c>
      <c r="H60" s="8" t="s">
        <v>583</v>
      </c>
      <c r="I60" s="10"/>
      <c r="J60" s="10"/>
      <c r="K60" s="6" t="s">
        <v>28</v>
      </c>
      <c r="L60" s="6" t="s">
        <v>584</v>
      </c>
      <c r="M60" s="6" t="s">
        <v>28</v>
      </c>
      <c r="N60" s="6" t="s">
        <v>28</v>
      </c>
      <c r="O60" s="9" t="s">
        <v>585</v>
      </c>
    </row>
    <row r="61" ht="22.5" customHeight="1">
      <c r="A61" s="74" t="s">
        <v>14</v>
      </c>
      <c r="B61" s="6" t="s">
        <v>586</v>
      </c>
      <c r="C61" s="6" t="s">
        <v>587</v>
      </c>
      <c r="D61" s="6" t="s">
        <v>588</v>
      </c>
      <c r="E61" s="7" t="str">
        <f>IFERROR(__xludf.DUMMYFUNCTION("""72."" &amp;+ REGEXEXTRACT(D61, ""\((\d*)\)"")"),"72.060")</f>
        <v>72.060</v>
      </c>
      <c r="F61" s="8" t="s">
        <v>589</v>
      </c>
      <c r="G61" s="6" t="s">
        <v>28</v>
      </c>
      <c r="H61" s="10"/>
      <c r="I61" s="10"/>
      <c r="J61" s="10"/>
      <c r="K61" s="6" t="s">
        <v>28</v>
      </c>
      <c r="L61" s="6" t="s">
        <v>590</v>
      </c>
      <c r="M61" s="6" t="s">
        <v>28</v>
      </c>
      <c r="N61" s="6" t="s">
        <v>591</v>
      </c>
      <c r="O61" s="9" t="s">
        <v>592</v>
      </c>
    </row>
    <row r="62" ht="22.5" customHeight="1">
      <c r="A62" s="75" t="s">
        <v>14</v>
      </c>
      <c r="B62" s="6" t="s">
        <v>593</v>
      </c>
      <c r="C62" s="6" t="s">
        <v>594</v>
      </c>
      <c r="D62" s="6" t="s">
        <v>595</v>
      </c>
      <c r="E62" s="7" t="str">
        <f>IFERROR(__xludf.DUMMYFUNCTION("""72."" &amp;+ REGEXEXTRACT(D62, ""\((\d*)\)"")"),"72.061")</f>
        <v>72.061</v>
      </c>
      <c r="F62" s="8" t="s">
        <v>596</v>
      </c>
      <c r="G62" s="6" t="s">
        <v>597</v>
      </c>
      <c r="H62" s="8" t="s">
        <v>598</v>
      </c>
      <c r="I62" s="8" t="s">
        <v>599</v>
      </c>
      <c r="J62" s="8" t="s">
        <v>600</v>
      </c>
      <c r="K62" s="6" t="s">
        <v>28</v>
      </c>
      <c r="L62" s="6" t="s">
        <v>601</v>
      </c>
      <c r="M62" s="6" t="s">
        <v>28</v>
      </c>
      <c r="N62" s="6" t="s">
        <v>28</v>
      </c>
      <c r="O62" s="9" t="s">
        <v>602</v>
      </c>
    </row>
    <row r="63" ht="22.5" customHeight="1">
      <c r="A63" s="76" t="s">
        <v>14</v>
      </c>
      <c r="B63" s="6" t="s">
        <v>603</v>
      </c>
      <c r="C63" s="6" t="s">
        <v>604</v>
      </c>
      <c r="D63" s="6" t="s">
        <v>605</v>
      </c>
      <c r="E63" s="7" t="str">
        <f>IFERROR(__xludf.DUMMYFUNCTION("""72."" &amp;+ REGEXEXTRACT(D63, ""\((\d*)\)"")"),"72.062")</f>
        <v>72.062</v>
      </c>
      <c r="F63" s="8" t="s">
        <v>606</v>
      </c>
      <c r="G63" s="6" t="s">
        <v>607</v>
      </c>
      <c r="H63" s="8" t="s">
        <v>608</v>
      </c>
      <c r="I63" s="10"/>
      <c r="J63" s="10"/>
      <c r="K63" s="6" t="s">
        <v>28</v>
      </c>
      <c r="L63" s="6" t="s">
        <v>609</v>
      </c>
      <c r="M63" s="6" t="s">
        <v>28</v>
      </c>
      <c r="N63" s="6" t="s">
        <v>28</v>
      </c>
      <c r="O63" s="9" t="s">
        <v>610</v>
      </c>
    </row>
    <row r="64" ht="22.5" customHeight="1">
      <c r="A64" s="77" t="s">
        <v>14</v>
      </c>
      <c r="B64" s="6" t="s">
        <v>611</v>
      </c>
      <c r="C64" s="6" t="s">
        <v>612</v>
      </c>
      <c r="D64" s="6" t="s">
        <v>613</v>
      </c>
      <c r="E64" s="7" t="str">
        <f>IFERROR(__xludf.DUMMYFUNCTION("""72."" &amp;+ REGEXEXTRACT(D64, ""\((\d*)\)"")"),"72.063")</f>
        <v>72.063</v>
      </c>
      <c r="F64" s="8" t="s">
        <v>614</v>
      </c>
      <c r="G64" s="6" t="s">
        <v>615</v>
      </c>
      <c r="H64" s="8" t="s">
        <v>616</v>
      </c>
      <c r="I64" s="8" t="s">
        <v>617</v>
      </c>
      <c r="J64" s="8" t="s">
        <v>618</v>
      </c>
      <c r="K64" s="6" t="s">
        <v>28</v>
      </c>
      <c r="L64" s="6" t="s">
        <v>619</v>
      </c>
      <c r="M64" s="6" t="s">
        <v>28</v>
      </c>
      <c r="N64" s="6" t="s">
        <v>28</v>
      </c>
      <c r="O64" s="9" t="s">
        <v>620</v>
      </c>
    </row>
    <row r="65" ht="22.5" customHeight="1">
      <c r="A65" s="78" t="s">
        <v>14</v>
      </c>
      <c r="B65" s="6" t="s">
        <v>28</v>
      </c>
      <c r="C65" s="6" t="s">
        <v>621</v>
      </c>
      <c r="D65" s="6" t="s">
        <v>622</v>
      </c>
      <c r="E65" s="7" t="str">
        <f>IFERROR(__xludf.DUMMYFUNCTION("""72."" &amp;+ REGEXEXTRACT(D65, ""\((\d*)\)"")"),"72.065")</f>
        <v>72.065</v>
      </c>
      <c r="F65" s="8" t="s">
        <v>623</v>
      </c>
      <c r="G65" s="6" t="s">
        <v>28</v>
      </c>
      <c r="H65" s="10"/>
      <c r="I65" s="10"/>
      <c r="J65" s="10"/>
      <c r="K65" s="6" t="s">
        <v>28</v>
      </c>
      <c r="L65" s="6" t="s">
        <v>624</v>
      </c>
      <c r="M65" s="6" t="s">
        <v>28</v>
      </c>
      <c r="N65" s="6" t="s">
        <v>28</v>
      </c>
      <c r="O65" s="9" t="s">
        <v>625</v>
      </c>
    </row>
    <row r="66" ht="22.5" customHeight="1">
      <c r="A66" s="79" t="s">
        <v>14</v>
      </c>
      <c r="B66" s="6" t="s">
        <v>28</v>
      </c>
      <c r="C66" s="6" t="s">
        <v>626</v>
      </c>
      <c r="D66" s="6" t="s">
        <v>627</v>
      </c>
      <c r="E66" s="7" t="str">
        <f>IFERROR(__xludf.DUMMYFUNCTION("""72."" &amp;+ REGEXEXTRACT(D66, ""\((\d*)\)"")"),"72.066")</f>
        <v>72.066</v>
      </c>
      <c r="F66" s="8" t="s">
        <v>628</v>
      </c>
      <c r="G66" s="6" t="s">
        <v>28</v>
      </c>
      <c r="H66" s="10"/>
      <c r="I66" s="10"/>
      <c r="J66" s="10"/>
      <c r="K66" s="6" t="s">
        <v>28</v>
      </c>
      <c r="L66" s="6" t="s">
        <v>629</v>
      </c>
      <c r="M66" s="6" t="s">
        <v>28</v>
      </c>
      <c r="N66" s="6" t="s">
        <v>28</v>
      </c>
      <c r="O66" s="9" t="s">
        <v>630</v>
      </c>
    </row>
    <row r="67" ht="22.5" customHeight="1">
      <c r="A67" s="80" t="s">
        <v>14</v>
      </c>
      <c r="B67" s="6" t="s">
        <v>631</v>
      </c>
      <c r="C67" s="6" t="s">
        <v>632</v>
      </c>
      <c r="D67" s="6" t="s">
        <v>633</v>
      </c>
      <c r="E67" s="7" t="str">
        <f>IFERROR(__xludf.DUMMYFUNCTION("""72."" &amp;+ REGEXEXTRACT(D67, ""\((\d*)\)"")"),"72.067")</f>
        <v>72.067</v>
      </c>
      <c r="F67" s="8" t="s">
        <v>634</v>
      </c>
      <c r="G67" s="6" t="s">
        <v>635</v>
      </c>
      <c r="H67" s="8" t="s">
        <v>636</v>
      </c>
      <c r="I67" s="8" t="s">
        <v>637</v>
      </c>
      <c r="J67" s="8" t="s">
        <v>638</v>
      </c>
      <c r="K67" s="6" t="s">
        <v>28</v>
      </c>
      <c r="L67" s="6" t="s">
        <v>639</v>
      </c>
      <c r="M67" s="6" t="s">
        <v>28</v>
      </c>
      <c r="N67" s="6" t="s">
        <v>28</v>
      </c>
      <c r="O67" s="9" t="s">
        <v>640</v>
      </c>
    </row>
    <row r="68" ht="22.5" customHeight="1">
      <c r="A68" s="81" t="s">
        <v>14</v>
      </c>
      <c r="B68" s="6" t="s">
        <v>28</v>
      </c>
      <c r="C68" s="6" t="s">
        <v>641</v>
      </c>
      <c r="D68" s="6" t="s">
        <v>642</v>
      </c>
      <c r="E68" s="7" t="str">
        <f>IFERROR(__xludf.DUMMYFUNCTION("""72."" &amp;+ REGEXEXTRACT(D68, ""\((\d*)\)"")"),"72.087")</f>
        <v>72.087</v>
      </c>
      <c r="F68" s="8" t="s">
        <v>643</v>
      </c>
      <c r="G68" s="6" t="s">
        <v>28</v>
      </c>
      <c r="H68" s="10"/>
      <c r="I68" s="10"/>
      <c r="J68" s="10"/>
      <c r="K68" s="6" t="s">
        <v>28</v>
      </c>
      <c r="L68" s="6" t="s">
        <v>28</v>
      </c>
      <c r="M68" s="6" t="s">
        <v>28</v>
      </c>
      <c r="N68" s="6" t="s">
        <v>28</v>
      </c>
      <c r="O68" s="9" t="s">
        <v>644</v>
      </c>
    </row>
    <row r="69" ht="22.5" customHeight="1">
      <c r="A69" s="82" t="s">
        <v>14</v>
      </c>
      <c r="B69" s="6" t="s">
        <v>28</v>
      </c>
      <c r="C69" s="6" t="s">
        <v>645</v>
      </c>
      <c r="D69" s="6" t="s">
        <v>646</v>
      </c>
      <c r="E69" s="7" t="str">
        <f>IFERROR(__xludf.DUMMYFUNCTION("""72."" &amp;+ REGEXEXTRACT(D69, ""\((\d*)\)"")"),"72.089")</f>
        <v>72.089</v>
      </c>
      <c r="F69" s="8" t="s">
        <v>647</v>
      </c>
      <c r="G69" s="6" t="s">
        <v>28</v>
      </c>
      <c r="H69" s="10"/>
      <c r="I69" s="10"/>
      <c r="J69" s="10"/>
      <c r="K69" s="6" t="s">
        <v>28</v>
      </c>
      <c r="L69" s="6" t="s">
        <v>28</v>
      </c>
      <c r="M69" s="6" t="s">
        <v>28</v>
      </c>
      <c r="N69" s="6" t="s">
        <v>28</v>
      </c>
      <c r="O69" s="9" t="s">
        <v>648</v>
      </c>
    </row>
    <row r="70" ht="22.5" customHeight="1">
      <c r="A70" s="83" t="s">
        <v>14</v>
      </c>
      <c r="B70" s="6" t="s">
        <v>28</v>
      </c>
      <c r="C70" s="6" t="s">
        <v>649</v>
      </c>
      <c r="D70" s="6" t="s">
        <v>650</v>
      </c>
      <c r="E70" s="7" t="str">
        <f>IFERROR(__xludf.DUMMYFUNCTION("""72."" &amp;+ REGEXEXTRACT(D70, ""\((\d*)\)"")"),"72.094")</f>
        <v>72.094</v>
      </c>
      <c r="F70" s="8" t="s">
        <v>651</v>
      </c>
      <c r="G70" s="6" t="s">
        <v>28</v>
      </c>
      <c r="H70" s="10"/>
      <c r="I70" s="10"/>
      <c r="J70" s="10"/>
      <c r="K70" s="6" t="s">
        <v>28</v>
      </c>
      <c r="L70" s="6" t="s">
        <v>28</v>
      </c>
      <c r="M70" s="6" t="s">
        <v>28</v>
      </c>
      <c r="N70" s="6" t="s">
        <v>28</v>
      </c>
      <c r="O70" s="9" t="s">
        <v>507</v>
      </c>
    </row>
    <row r="71" ht="22.5" customHeight="1">
      <c r="A71" s="84" t="s">
        <v>14</v>
      </c>
      <c r="B71" s="6" t="s">
        <v>652</v>
      </c>
      <c r="C71" s="6" t="s">
        <v>653</v>
      </c>
      <c r="D71" s="6" t="s">
        <v>654</v>
      </c>
      <c r="E71" s="7" t="str">
        <f>IFERROR(__xludf.DUMMYFUNCTION("""72."" &amp;+ REGEXEXTRACT(D71, ""\((\d*)\)"")"),"72.095")</f>
        <v>72.095</v>
      </c>
      <c r="F71" s="8" t="s">
        <v>655</v>
      </c>
      <c r="G71" s="6" t="s">
        <v>656</v>
      </c>
      <c r="H71" s="8" t="s">
        <v>657</v>
      </c>
      <c r="I71" s="8" t="s">
        <v>658</v>
      </c>
      <c r="J71" s="8" t="s">
        <v>659</v>
      </c>
      <c r="K71" s="6" t="s">
        <v>660</v>
      </c>
      <c r="L71" s="6" t="s">
        <v>28</v>
      </c>
      <c r="M71" s="6" t="s">
        <v>28</v>
      </c>
      <c r="N71" s="6" t="s">
        <v>28</v>
      </c>
      <c r="O71" s="9" t="s">
        <v>661</v>
      </c>
    </row>
    <row r="72" ht="22.5" customHeight="1">
      <c r="A72" s="85" t="s">
        <v>14</v>
      </c>
      <c r="B72" s="6" t="s">
        <v>662</v>
      </c>
      <c r="C72" s="6" t="s">
        <v>663</v>
      </c>
      <c r="D72" s="6" t="s">
        <v>664</v>
      </c>
      <c r="E72" s="7" t="str">
        <f>IFERROR(__xludf.DUMMYFUNCTION("""72."" &amp;+ REGEXEXTRACT(D72, ""\((\d*)\)"")"),"72.140")</f>
        <v>72.140</v>
      </c>
      <c r="F72" s="8" t="s">
        <v>665</v>
      </c>
      <c r="G72" s="6" t="s">
        <v>392</v>
      </c>
      <c r="H72" s="8" t="s">
        <v>393</v>
      </c>
      <c r="I72" s="10"/>
      <c r="J72" s="10"/>
      <c r="K72" s="6" t="s">
        <v>28</v>
      </c>
      <c r="L72" s="6" t="s">
        <v>666</v>
      </c>
      <c r="M72" s="6" t="s">
        <v>28</v>
      </c>
      <c r="N72" s="6" t="s">
        <v>28</v>
      </c>
      <c r="O72" s="9" t="s">
        <v>667</v>
      </c>
    </row>
    <row r="73" ht="22.5" customHeight="1">
      <c r="A73" s="86" t="s">
        <v>14</v>
      </c>
      <c r="B73" s="6" t="s">
        <v>668</v>
      </c>
      <c r="C73" s="6" t="s">
        <v>669</v>
      </c>
      <c r="D73" s="6" t="s">
        <v>670</v>
      </c>
      <c r="E73" s="7" t="str">
        <f>IFERROR(__xludf.DUMMYFUNCTION("""72."" &amp;+ REGEXEXTRACT(D73, ""\((\d*)\)"")"),"72.141")</f>
        <v>72.141</v>
      </c>
      <c r="F73" s="8" t="s">
        <v>671</v>
      </c>
      <c r="G73" s="6" t="s">
        <v>672</v>
      </c>
      <c r="H73" s="8" t="s">
        <v>673</v>
      </c>
      <c r="I73" s="10"/>
      <c r="J73" s="10"/>
      <c r="K73" s="6" t="s">
        <v>28</v>
      </c>
      <c r="L73" s="6" t="s">
        <v>624</v>
      </c>
      <c r="M73" s="6" t="s">
        <v>28</v>
      </c>
      <c r="N73" s="6" t="s">
        <v>28</v>
      </c>
      <c r="O73" s="9" t="s">
        <v>674</v>
      </c>
    </row>
    <row r="74" ht="22.5" customHeight="1">
      <c r="A74" s="87"/>
      <c r="B74" s="6" t="s">
        <v>675</v>
      </c>
      <c r="C74" s="6" t="s">
        <v>676</v>
      </c>
      <c r="D74" s="6" t="s">
        <v>677</v>
      </c>
      <c r="E74" s="7" t="str">
        <f>IFERROR(__xludf.DUMMYFUNCTION("""72."" &amp;+ REGEXEXTRACT(D74, ""\((\d*)\)"")"),"72.142")</f>
        <v>72.142</v>
      </c>
      <c r="F74" s="8" t="s">
        <v>678</v>
      </c>
      <c r="G74" s="6" t="s">
        <v>679</v>
      </c>
      <c r="H74" s="8" t="s">
        <v>177</v>
      </c>
      <c r="I74" s="10"/>
      <c r="J74" s="10"/>
      <c r="K74" s="6" t="s">
        <v>28</v>
      </c>
      <c r="L74" s="6" t="s">
        <v>680</v>
      </c>
      <c r="M74" s="6" t="s">
        <v>28</v>
      </c>
      <c r="N74" s="6" t="s">
        <v>28</v>
      </c>
      <c r="O74" s="9" t="s">
        <v>681</v>
      </c>
    </row>
    <row r="75" ht="22.5" customHeight="1">
      <c r="A75" s="88" t="s">
        <v>14</v>
      </c>
      <c r="B75" s="6" t="s">
        <v>682</v>
      </c>
      <c r="C75" s="6" t="s">
        <v>683</v>
      </c>
      <c r="D75" s="6" t="s">
        <v>684</v>
      </c>
      <c r="E75" s="7" t="str">
        <f>IFERROR(__xludf.DUMMYFUNCTION("""72."" &amp;+ REGEXEXTRACT(D75, ""\((\d*)\)"")"),"72.143")</f>
        <v>72.143</v>
      </c>
      <c r="F75" s="8" t="s">
        <v>685</v>
      </c>
      <c r="G75" s="6" t="s">
        <v>686</v>
      </c>
      <c r="H75" s="8" t="s">
        <v>687</v>
      </c>
      <c r="I75" s="10"/>
      <c r="J75" s="10"/>
      <c r="K75" s="6" t="s">
        <v>28</v>
      </c>
      <c r="L75" s="6" t="s">
        <v>688</v>
      </c>
      <c r="M75" s="6" t="s">
        <v>28</v>
      </c>
      <c r="N75" s="6" t="s">
        <v>28</v>
      </c>
      <c r="O75" s="9" t="s">
        <v>689</v>
      </c>
    </row>
    <row r="76" ht="22.5" customHeight="1">
      <c r="A76" s="89" t="s">
        <v>14</v>
      </c>
      <c r="B76" s="6" t="s">
        <v>690</v>
      </c>
      <c r="C76" s="6" t="s">
        <v>691</v>
      </c>
      <c r="D76" s="6" t="s">
        <v>692</v>
      </c>
      <c r="E76" s="7" t="str">
        <f>IFERROR(__xludf.DUMMYFUNCTION("""72."" &amp;+ REGEXEXTRACT(D76, ""\((\d*)\)"")"),"72.144")</f>
        <v>72.144</v>
      </c>
      <c r="F76" s="8" t="s">
        <v>693</v>
      </c>
      <c r="G76" s="6" t="s">
        <v>694</v>
      </c>
      <c r="H76" s="8" t="s">
        <v>695</v>
      </c>
      <c r="I76" s="10"/>
      <c r="J76" s="10"/>
      <c r="K76" s="6" t="s">
        <v>28</v>
      </c>
      <c r="L76" s="6" t="s">
        <v>482</v>
      </c>
      <c r="M76" s="6" t="s">
        <v>28</v>
      </c>
      <c r="N76" s="6" t="s">
        <v>28</v>
      </c>
      <c r="O76" s="9" t="s">
        <v>696</v>
      </c>
    </row>
    <row r="77" ht="22.5" customHeight="1">
      <c r="A77" s="90" t="s">
        <v>14</v>
      </c>
      <c r="B77" s="6" t="s">
        <v>697</v>
      </c>
      <c r="C77" s="6" t="s">
        <v>698</v>
      </c>
      <c r="D77" s="6" t="s">
        <v>699</v>
      </c>
      <c r="E77" s="7" t="str">
        <f>IFERROR(__xludf.DUMMYFUNCTION("""72."" &amp;+ REGEXEXTRACT(D77, ""\((\d*)\)"")"),"72.145")</f>
        <v>72.145</v>
      </c>
      <c r="F77" s="8" t="s">
        <v>700</v>
      </c>
      <c r="G77" s="6" t="s">
        <v>701</v>
      </c>
      <c r="H77" s="8" t="s">
        <v>702</v>
      </c>
      <c r="I77" s="10"/>
      <c r="J77" s="10"/>
      <c r="K77" s="6" t="s">
        <v>28</v>
      </c>
      <c r="L77" s="6" t="s">
        <v>703</v>
      </c>
      <c r="M77" s="6" t="s">
        <v>28</v>
      </c>
      <c r="N77" s="6" t="s">
        <v>28</v>
      </c>
      <c r="O77" s="9" t="s">
        <v>704</v>
      </c>
    </row>
    <row r="78" ht="22.5" customHeight="1">
      <c r="A78" s="91" t="s">
        <v>14</v>
      </c>
      <c r="B78" s="6" t="s">
        <v>705</v>
      </c>
      <c r="C78" s="6" t="s">
        <v>706</v>
      </c>
      <c r="D78" s="6" t="s">
        <v>707</v>
      </c>
      <c r="E78" s="7" t="str">
        <f>IFERROR(__xludf.DUMMYFUNCTION("""72."" &amp;+ REGEXEXTRACT(D78, ""\((\d*)\)"")"),"72.146")</f>
        <v>72.146</v>
      </c>
      <c r="F78" s="8" t="s">
        <v>708</v>
      </c>
      <c r="G78" s="6" t="s">
        <v>709</v>
      </c>
      <c r="H78" s="8" t="s">
        <v>710</v>
      </c>
      <c r="I78" s="8" t="s">
        <v>711</v>
      </c>
      <c r="J78" s="8" t="s">
        <v>712</v>
      </c>
      <c r="K78" s="6" t="s">
        <v>28</v>
      </c>
      <c r="L78" s="6" t="s">
        <v>713</v>
      </c>
      <c r="M78" s="6" t="s">
        <v>28</v>
      </c>
      <c r="N78" s="6" t="s">
        <v>28</v>
      </c>
      <c r="O78" s="9" t="s">
        <v>714</v>
      </c>
    </row>
    <row r="79" ht="22.5" customHeight="1">
      <c r="A79" s="92" t="s">
        <v>14</v>
      </c>
      <c r="B79" s="6" t="s">
        <v>268</v>
      </c>
      <c r="C79" s="6" t="s">
        <v>715</v>
      </c>
      <c r="D79" s="6" t="s">
        <v>716</v>
      </c>
      <c r="E79" s="7" t="str">
        <f>IFERROR(__xludf.DUMMYFUNCTION("""72."" &amp;+ REGEXEXTRACT(D79, ""\((\d*)\)"")"),"72.147")</f>
        <v>72.147</v>
      </c>
      <c r="F79" s="8" t="s">
        <v>717</v>
      </c>
      <c r="G79" s="6" t="s">
        <v>718</v>
      </c>
      <c r="H79" s="8" t="s">
        <v>719</v>
      </c>
      <c r="I79" s="10"/>
      <c r="J79" s="10"/>
      <c r="K79" s="6" t="s">
        <v>28</v>
      </c>
      <c r="L79" s="6" t="s">
        <v>720</v>
      </c>
      <c r="M79" s="6" t="s">
        <v>28</v>
      </c>
      <c r="N79" s="6" t="s">
        <v>28</v>
      </c>
      <c r="O79" s="9" t="s">
        <v>721</v>
      </c>
    </row>
    <row r="80" ht="22.5" customHeight="1">
      <c r="A80" s="93" t="s">
        <v>14</v>
      </c>
      <c r="B80" s="6" t="s">
        <v>722</v>
      </c>
      <c r="C80" s="6" t="s">
        <v>723</v>
      </c>
      <c r="D80" s="6" t="s">
        <v>724</v>
      </c>
      <c r="E80" s="7" t="str">
        <f>IFERROR(__xludf.DUMMYFUNCTION("""72."" &amp;+ REGEXEXTRACT(D80, ""\((\d*)\)"")"),"72.148")</f>
        <v>72.148</v>
      </c>
      <c r="F80" s="8" t="s">
        <v>725</v>
      </c>
      <c r="G80" s="6" t="s">
        <v>28</v>
      </c>
      <c r="H80" s="10"/>
      <c r="I80" s="10"/>
      <c r="J80" s="10"/>
      <c r="K80" s="6" t="s">
        <v>28</v>
      </c>
      <c r="L80" s="6" t="s">
        <v>726</v>
      </c>
      <c r="M80" s="6" t="s">
        <v>28</v>
      </c>
      <c r="N80" s="6" t="s">
        <v>28</v>
      </c>
      <c r="O80" s="9" t="s">
        <v>727</v>
      </c>
    </row>
    <row r="81" ht="22.5" customHeight="1">
      <c r="A81" s="94" t="s">
        <v>14</v>
      </c>
      <c r="B81" s="6" t="s">
        <v>728</v>
      </c>
      <c r="C81" s="6" t="s">
        <v>729</v>
      </c>
      <c r="D81" s="6" t="s">
        <v>730</v>
      </c>
      <c r="E81" s="7" t="str">
        <f>IFERROR(__xludf.DUMMYFUNCTION("""72."" &amp;+ REGEXEXTRACT(D81, ""\((\d*)\)"")"),"72.149")</f>
        <v>72.149</v>
      </c>
      <c r="F81" s="8" t="s">
        <v>731</v>
      </c>
      <c r="G81" s="6" t="s">
        <v>732</v>
      </c>
      <c r="H81" s="8" t="s">
        <v>733</v>
      </c>
      <c r="I81" s="10"/>
      <c r="J81" s="10"/>
      <c r="K81" s="6" t="s">
        <v>28</v>
      </c>
      <c r="M81" s="6" t="s">
        <v>28</v>
      </c>
      <c r="N81" s="6" t="s">
        <v>28</v>
      </c>
      <c r="O81" s="9" t="s">
        <v>734</v>
      </c>
      <c r="P81" s="95"/>
      <c r="Q81" s="95"/>
      <c r="R81" s="95"/>
      <c r="S81" s="95"/>
      <c r="T81" s="95"/>
      <c r="U81" s="95"/>
      <c r="V81" s="95"/>
      <c r="W81" s="95"/>
      <c r="X81" s="95"/>
      <c r="Y81" s="95"/>
    </row>
    <row r="82" ht="22.5" customHeight="1">
      <c r="A82" s="96" t="s">
        <v>14</v>
      </c>
      <c r="B82" s="6" t="s">
        <v>388</v>
      </c>
      <c r="C82" s="6" t="s">
        <v>735</v>
      </c>
      <c r="D82" s="6" t="s">
        <v>736</v>
      </c>
      <c r="E82" s="7" t="str">
        <f>IFERROR(__xludf.DUMMYFUNCTION("""72."" &amp;+ REGEXEXTRACT(D82, ""\((\d*)\)"")"),"72.150")</f>
        <v>72.150</v>
      </c>
      <c r="F82" s="8" t="s">
        <v>737</v>
      </c>
      <c r="G82" s="6" t="s">
        <v>738</v>
      </c>
      <c r="H82" s="8" t="s">
        <v>739</v>
      </c>
      <c r="I82" s="10"/>
      <c r="J82" s="10"/>
      <c r="K82" s="6" t="s">
        <v>28</v>
      </c>
      <c r="L82" s="6" t="s">
        <v>740</v>
      </c>
      <c r="M82" s="6" t="s">
        <v>28</v>
      </c>
      <c r="N82" s="6" t="s">
        <v>28</v>
      </c>
      <c r="O82" s="9" t="s">
        <v>741</v>
      </c>
    </row>
    <row r="83" ht="22.5" customHeight="1">
      <c r="A83" s="46" t="s">
        <v>14</v>
      </c>
      <c r="B83" s="6" t="s">
        <v>742</v>
      </c>
      <c r="C83" s="6" t="s">
        <v>743</v>
      </c>
      <c r="D83" s="6" t="s">
        <v>744</v>
      </c>
      <c r="E83" s="7" t="str">
        <f>IFERROR(__xludf.DUMMYFUNCTION("""72."" &amp;+ REGEXEXTRACT(D83, ""\((\d*)\)"")"),"72.151")</f>
        <v>72.151</v>
      </c>
      <c r="F83" s="8" t="s">
        <v>745</v>
      </c>
      <c r="G83" s="6" t="s">
        <v>746</v>
      </c>
      <c r="H83" s="8" t="s">
        <v>372</v>
      </c>
      <c r="I83" s="8" t="s">
        <v>373</v>
      </c>
      <c r="J83" s="8" t="s">
        <v>374</v>
      </c>
      <c r="K83" s="6" t="s">
        <v>28</v>
      </c>
      <c r="L83" s="6" t="s">
        <v>747</v>
      </c>
      <c r="M83" s="6" t="s">
        <v>28</v>
      </c>
      <c r="N83" s="6" t="s">
        <v>28</v>
      </c>
      <c r="O83" s="9" t="s">
        <v>748</v>
      </c>
    </row>
    <row r="84" ht="22.5" customHeight="1">
      <c r="A84" s="97" t="s">
        <v>14</v>
      </c>
      <c r="B84" s="6" t="s">
        <v>749</v>
      </c>
      <c r="C84" s="6" t="s">
        <v>750</v>
      </c>
      <c r="D84" s="6" t="s">
        <v>751</v>
      </c>
      <c r="E84" s="7" t="str">
        <f>IFERROR(__xludf.DUMMYFUNCTION("""72."" &amp;+ REGEXEXTRACT(D84, ""\((\d*)\)"")"),"72.152")</f>
        <v>72.152</v>
      </c>
      <c r="F84" s="8" t="s">
        <v>752</v>
      </c>
      <c r="G84" s="6" t="s">
        <v>753</v>
      </c>
      <c r="H84" s="8" t="s">
        <v>754</v>
      </c>
      <c r="I84" s="10"/>
      <c r="J84" s="10"/>
      <c r="K84" s="6" t="s">
        <v>28</v>
      </c>
      <c r="L84" s="6" t="s">
        <v>103</v>
      </c>
      <c r="M84" s="6" t="s">
        <v>28</v>
      </c>
      <c r="N84" s="6" t="s">
        <v>28</v>
      </c>
      <c r="O84" s="9" t="s">
        <v>755</v>
      </c>
    </row>
    <row r="85" ht="22.5" customHeight="1">
      <c r="A85" s="98" t="s">
        <v>14</v>
      </c>
      <c r="B85" s="6" t="s">
        <v>756</v>
      </c>
      <c r="C85" s="6" t="s">
        <v>757</v>
      </c>
      <c r="D85" s="6" t="s">
        <v>758</v>
      </c>
      <c r="E85" s="7" t="str">
        <f>IFERROR(__xludf.DUMMYFUNCTION("""72."" &amp;+ REGEXEXTRACT(D85, ""\((\d*)\)"")"),"72.153")</f>
        <v>72.153</v>
      </c>
      <c r="F85" s="8" t="s">
        <v>759</v>
      </c>
      <c r="G85" s="6" t="s">
        <v>760</v>
      </c>
      <c r="H85" s="8" t="s">
        <v>761</v>
      </c>
      <c r="I85" s="8" t="s">
        <v>762</v>
      </c>
      <c r="J85" s="8" t="s">
        <v>763</v>
      </c>
      <c r="K85" s="6" t="s">
        <v>28</v>
      </c>
      <c r="L85" s="6" t="s">
        <v>764</v>
      </c>
      <c r="M85" s="6" t="s">
        <v>28</v>
      </c>
      <c r="N85" s="6" t="s">
        <v>28</v>
      </c>
      <c r="O85" s="99" t="s">
        <v>765</v>
      </c>
    </row>
    <row r="86" ht="22.5" customHeight="1">
      <c r="A86" s="100"/>
      <c r="B86" s="6" t="s">
        <v>417</v>
      </c>
      <c r="C86" s="6" t="s">
        <v>766</v>
      </c>
      <c r="D86" s="6" t="s">
        <v>767</v>
      </c>
      <c r="E86" s="7" t="str">
        <f>IFERROR(__xludf.DUMMYFUNCTION("""72."" &amp;+ REGEXEXTRACT(D86, ""\((\d*)\)"")"),"72.154")</f>
        <v>72.154</v>
      </c>
      <c r="F86" s="8" t="s">
        <v>768</v>
      </c>
      <c r="G86" s="6" t="s">
        <v>421</v>
      </c>
      <c r="H86" s="8" t="s">
        <v>422</v>
      </c>
      <c r="I86" s="8" t="s">
        <v>423</v>
      </c>
      <c r="J86" s="8" t="s">
        <v>424</v>
      </c>
      <c r="K86" s="6" t="s">
        <v>28</v>
      </c>
      <c r="L86" s="6" t="s">
        <v>769</v>
      </c>
      <c r="M86" s="6" t="s">
        <v>28</v>
      </c>
      <c r="N86" s="6" t="s">
        <v>28</v>
      </c>
      <c r="O86" s="9" t="s">
        <v>770</v>
      </c>
    </row>
    <row r="87" ht="22.5" customHeight="1">
      <c r="A87" s="101" t="s">
        <v>14</v>
      </c>
      <c r="B87" s="6" t="s">
        <v>771</v>
      </c>
      <c r="C87" s="6" t="s">
        <v>772</v>
      </c>
      <c r="D87" s="6" t="s">
        <v>773</v>
      </c>
      <c r="E87" s="7" t="str">
        <f>IFERROR(__xludf.DUMMYFUNCTION("""72."" &amp;+ REGEXEXTRACT(D87, ""\((\d*)\)"")"),"72.155")</f>
        <v>72.155</v>
      </c>
      <c r="F87" s="8" t="s">
        <v>774</v>
      </c>
      <c r="G87" s="6" t="s">
        <v>775</v>
      </c>
      <c r="H87" s="8" t="s">
        <v>776</v>
      </c>
      <c r="I87" s="10"/>
      <c r="J87" s="10"/>
      <c r="K87" s="6" t="s">
        <v>28</v>
      </c>
      <c r="L87" s="6" t="s">
        <v>777</v>
      </c>
      <c r="M87" s="6" t="s">
        <v>28</v>
      </c>
      <c r="N87" s="6" t="s">
        <v>28</v>
      </c>
      <c r="O87" s="9" t="s">
        <v>778</v>
      </c>
    </row>
    <row r="88" ht="22.5" customHeight="1">
      <c r="A88" s="102" t="s">
        <v>14</v>
      </c>
      <c r="B88" s="6" t="s">
        <v>779</v>
      </c>
      <c r="C88" s="6" t="s">
        <v>780</v>
      </c>
      <c r="D88" s="6" t="s">
        <v>781</v>
      </c>
      <c r="E88" s="103" t="s">
        <v>782</v>
      </c>
      <c r="F88" s="104" t="s">
        <v>782</v>
      </c>
      <c r="G88" s="6" t="s">
        <v>28</v>
      </c>
      <c r="H88" s="10"/>
      <c r="I88" s="10"/>
      <c r="J88" s="10"/>
      <c r="K88" s="6" t="s">
        <v>28</v>
      </c>
      <c r="L88" s="6" t="s">
        <v>28</v>
      </c>
      <c r="M88" s="6" t="s">
        <v>28</v>
      </c>
      <c r="N88" s="6" t="s">
        <v>28</v>
      </c>
      <c r="O88" s="9" t="s">
        <v>416</v>
      </c>
    </row>
    <row r="89" ht="22.5" customHeight="1">
      <c r="A89" s="6" t="s">
        <v>14</v>
      </c>
      <c r="B89" s="6" t="s">
        <v>783</v>
      </c>
      <c r="C89" s="6" t="s">
        <v>784</v>
      </c>
      <c r="D89" s="6" t="s">
        <v>785</v>
      </c>
      <c r="E89" s="103" t="s">
        <v>786</v>
      </c>
      <c r="F89" s="104" t="s">
        <v>786</v>
      </c>
      <c r="G89" s="6" t="s">
        <v>28</v>
      </c>
      <c r="H89" s="10"/>
      <c r="I89" s="10"/>
      <c r="J89" s="10"/>
      <c r="K89" s="6" t="s">
        <v>28</v>
      </c>
      <c r="L89" s="6" t="s">
        <v>28</v>
      </c>
      <c r="M89" s="6" t="s">
        <v>28</v>
      </c>
      <c r="N89" s="6" t="s">
        <v>28</v>
      </c>
      <c r="O89" s="9" t="s">
        <v>507</v>
      </c>
    </row>
    <row r="90" ht="22.5" customHeight="1">
      <c r="A90" s="6" t="s">
        <v>14</v>
      </c>
      <c r="B90" s="6" t="s">
        <v>787</v>
      </c>
      <c r="C90" s="6" t="s">
        <v>788</v>
      </c>
      <c r="D90" s="6" t="s">
        <v>789</v>
      </c>
      <c r="E90" s="103" t="s">
        <v>790</v>
      </c>
      <c r="F90" s="104" t="s">
        <v>790</v>
      </c>
      <c r="G90" s="6" t="s">
        <v>28</v>
      </c>
      <c r="H90" s="10"/>
      <c r="I90" s="10"/>
      <c r="J90" s="10"/>
      <c r="K90" s="6" t="s">
        <v>28</v>
      </c>
      <c r="L90" s="6" t="s">
        <v>28</v>
      </c>
      <c r="M90" s="6" t="s">
        <v>28</v>
      </c>
      <c r="N90" s="6" t="s">
        <v>28</v>
      </c>
      <c r="O90" s="9" t="s">
        <v>791</v>
      </c>
    </row>
    <row r="91" ht="22.5" customHeight="1">
      <c r="A91" s="105" t="s">
        <v>14</v>
      </c>
      <c r="B91" s="6" t="s">
        <v>792</v>
      </c>
      <c r="C91" s="6" t="s">
        <v>793</v>
      </c>
      <c r="D91" s="6" t="s">
        <v>794</v>
      </c>
      <c r="E91" s="103" t="s">
        <v>795</v>
      </c>
      <c r="F91" s="104" t="s">
        <v>795</v>
      </c>
      <c r="G91" s="6" t="s">
        <v>28</v>
      </c>
      <c r="H91" s="10"/>
      <c r="I91" s="10"/>
      <c r="J91" s="10"/>
      <c r="K91" s="6" t="s">
        <v>28</v>
      </c>
      <c r="L91" s="6" t="s">
        <v>28</v>
      </c>
      <c r="M91" s="6" t="s">
        <v>28</v>
      </c>
      <c r="N91" s="6" t="s">
        <v>28</v>
      </c>
      <c r="O91" s="9" t="s">
        <v>592</v>
      </c>
    </row>
    <row r="92" ht="22.5" customHeight="1">
      <c r="A92" s="6" t="s">
        <v>14</v>
      </c>
      <c r="B92" s="6" t="s">
        <v>796</v>
      </c>
      <c r="C92" s="6" t="s">
        <v>797</v>
      </c>
      <c r="D92" s="6" t="s">
        <v>798</v>
      </c>
      <c r="E92" s="103" t="s">
        <v>799</v>
      </c>
      <c r="F92" s="104" t="s">
        <v>799</v>
      </c>
      <c r="G92" s="6" t="s">
        <v>28</v>
      </c>
      <c r="H92" s="10"/>
      <c r="I92" s="10"/>
      <c r="J92" s="10"/>
      <c r="K92" s="6" t="s">
        <v>28</v>
      </c>
      <c r="L92" s="6" t="s">
        <v>28</v>
      </c>
      <c r="M92" s="6" t="s">
        <v>28</v>
      </c>
      <c r="N92" s="6" t="s">
        <v>28</v>
      </c>
      <c r="O92" s="9" t="s">
        <v>800</v>
      </c>
    </row>
    <row r="93" ht="22.5" customHeight="1">
      <c r="A93" s="91" t="s">
        <v>14</v>
      </c>
      <c r="B93" s="6" t="s">
        <v>801</v>
      </c>
      <c r="C93" s="6" t="s">
        <v>802</v>
      </c>
      <c r="D93" s="6" t="s">
        <v>803</v>
      </c>
      <c r="E93" s="103" t="s">
        <v>804</v>
      </c>
      <c r="F93" s="104" t="s">
        <v>804</v>
      </c>
      <c r="G93" s="6" t="s">
        <v>28</v>
      </c>
      <c r="H93" s="10"/>
      <c r="I93" s="10"/>
      <c r="J93" s="10"/>
      <c r="K93" s="6" t="s">
        <v>28</v>
      </c>
      <c r="L93" s="6" t="s">
        <v>28</v>
      </c>
      <c r="M93" s="6" t="s">
        <v>28</v>
      </c>
      <c r="N93" s="6" t="s">
        <v>28</v>
      </c>
      <c r="O93" s="9" t="s">
        <v>805</v>
      </c>
    </row>
    <row r="94" ht="22.5" customHeight="1">
      <c r="A94" s="52" t="s">
        <v>14</v>
      </c>
      <c r="B94" s="6" t="s">
        <v>806</v>
      </c>
      <c r="C94" s="6" t="s">
        <v>807</v>
      </c>
      <c r="D94" s="6" t="s">
        <v>808</v>
      </c>
      <c r="E94" s="103" t="s">
        <v>809</v>
      </c>
      <c r="F94" s="104" t="s">
        <v>809</v>
      </c>
      <c r="G94" s="6" t="s">
        <v>28</v>
      </c>
      <c r="H94" s="10"/>
      <c r="I94" s="10"/>
      <c r="J94" s="10"/>
      <c r="K94" s="6" t="s">
        <v>28</v>
      </c>
      <c r="L94" s="6" t="s">
        <v>28</v>
      </c>
      <c r="M94" s="6" t="s">
        <v>28</v>
      </c>
      <c r="N94" s="6" t="s">
        <v>28</v>
      </c>
      <c r="O94" s="9" t="s">
        <v>437</v>
      </c>
    </row>
    <row r="95" ht="22.5" customHeight="1">
      <c r="A95" s="106" t="s">
        <v>14</v>
      </c>
      <c r="B95" s="6" t="s">
        <v>810</v>
      </c>
      <c r="C95" s="6" t="s">
        <v>811</v>
      </c>
      <c r="D95" s="6" t="s">
        <v>812</v>
      </c>
      <c r="E95" s="103" t="s">
        <v>813</v>
      </c>
      <c r="F95" s="104" t="s">
        <v>813</v>
      </c>
      <c r="G95" s="6" t="s">
        <v>28</v>
      </c>
      <c r="H95" s="10"/>
      <c r="I95" s="10"/>
      <c r="J95" s="10"/>
      <c r="K95" s="6" t="s">
        <v>28</v>
      </c>
      <c r="L95" s="6" t="s">
        <v>28</v>
      </c>
      <c r="M95" s="6" t="s">
        <v>28</v>
      </c>
      <c r="N95" s="6" t="s">
        <v>28</v>
      </c>
      <c r="O95" s="9" t="s">
        <v>814</v>
      </c>
    </row>
    <row r="96" ht="22.5" customHeight="1">
      <c r="A96" s="107"/>
      <c r="F96" s="10"/>
      <c r="G96" s="6" t="s">
        <v>815</v>
      </c>
      <c r="H96" s="8" t="s">
        <v>816</v>
      </c>
      <c r="I96" s="10"/>
      <c r="J96" s="10"/>
      <c r="O96" s="57"/>
    </row>
    <row r="97" ht="22.5" customHeight="1">
      <c r="A97" s="108"/>
      <c r="F97" s="10"/>
      <c r="G97" s="6" t="s">
        <v>817</v>
      </c>
      <c r="H97" s="8" t="s">
        <v>818</v>
      </c>
      <c r="I97" s="10"/>
      <c r="J97" s="10"/>
      <c r="O97" s="57"/>
    </row>
    <row r="98" ht="22.5" customHeight="1">
      <c r="F98" s="10"/>
      <c r="G98" s="6" t="s">
        <v>819</v>
      </c>
      <c r="H98" s="8" t="s">
        <v>820</v>
      </c>
      <c r="I98" s="10"/>
      <c r="J98" s="10"/>
      <c r="O98" s="57"/>
    </row>
    <row r="99" ht="22.5" customHeight="1">
      <c r="A99" s="109"/>
      <c r="F99" s="10"/>
      <c r="G99" s="6" t="s">
        <v>821</v>
      </c>
      <c r="H99" s="8" t="s">
        <v>822</v>
      </c>
      <c r="I99" s="10"/>
      <c r="J99" s="10"/>
      <c r="O99" s="57"/>
    </row>
    <row r="100" ht="22.5" customHeight="1">
      <c r="A100" s="110"/>
      <c r="F100" s="10"/>
      <c r="G100" s="6" t="s">
        <v>823</v>
      </c>
      <c r="H100" s="8" t="s">
        <v>824</v>
      </c>
      <c r="I100" s="10"/>
      <c r="J100" s="10"/>
      <c r="O100" s="57"/>
    </row>
    <row r="101" ht="22.5" customHeight="1">
      <c r="F101" s="10"/>
      <c r="H101" s="8" t="s">
        <v>825</v>
      </c>
      <c r="I101" s="10"/>
      <c r="J101" s="10"/>
      <c r="O101" s="57"/>
    </row>
    <row r="102" ht="22.5" customHeight="1">
      <c r="A102" s="111"/>
      <c r="F102" s="10"/>
      <c r="G102" s="6" t="s">
        <v>826</v>
      </c>
      <c r="H102" s="8" t="s">
        <v>827</v>
      </c>
      <c r="I102" s="10"/>
      <c r="J102" s="10"/>
      <c r="O102" s="57"/>
    </row>
    <row r="103" ht="22.5" customHeight="1">
      <c r="A103" s="112"/>
      <c r="F103" s="10"/>
      <c r="G103" s="6" t="s">
        <v>828</v>
      </c>
      <c r="H103" s="8" t="s">
        <v>829</v>
      </c>
      <c r="I103" s="10"/>
      <c r="J103" s="10"/>
      <c r="O103" s="57"/>
    </row>
    <row r="104" ht="22.5" customHeight="1">
      <c r="A104" s="113"/>
      <c r="F104" s="10"/>
      <c r="G104" s="6" t="s">
        <v>830</v>
      </c>
      <c r="H104" s="8" t="s">
        <v>831</v>
      </c>
      <c r="I104" s="8" t="s">
        <v>832</v>
      </c>
      <c r="J104" s="8" t="s">
        <v>833</v>
      </c>
      <c r="O104" s="57"/>
    </row>
    <row r="105" ht="22.5" customHeight="1">
      <c r="A105" s="114"/>
      <c r="F105" s="10"/>
      <c r="G105" s="6" t="s">
        <v>834</v>
      </c>
      <c r="H105" s="8" t="s">
        <v>835</v>
      </c>
      <c r="I105" s="10"/>
      <c r="J105" s="10"/>
      <c r="O105" s="57"/>
    </row>
    <row r="106" ht="22.5" customHeight="1">
      <c r="A106" s="115"/>
      <c r="F106" s="10"/>
      <c r="G106" s="6" t="s">
        <v>836</v>
      </c>
      <c r="H106" s="8" t="s">
        <v>837</v>
      </c>
      <c r="I106" s="8" t="s">
        <v>838</v>
      </c>
      <c r="J106" s="8" t="s">
        <v>839</v>
      </c>
      <c r="O106" s="57"/>
    </row>
    <row r="107" ht="22.5" customHeight="1">
      <c r="A107" s="116"/>
      <c r="F107" s="10"/>
      <c r="G107" s="6" t="s">
        <v>840</v>
      </c>
      <c r="H107" s="8" t="s">
        <v>841</v>
      </c>
      <c r="I107" s="10"/>
      <c r="J107" s="10"/>
      <c r="O107" s="57"/>
    </row>
    <row r="108" ht="22.5" customHeight="1">
      <c r="A108" s="117"/>
      <c r="F108" s="10"/>
      <c r="H108" s="8" t="s">
        <v>842</v>
      </c>
      <c r="I108" s="10"/>
      <c r="J108" s="10"/>
      <c r="O108" s="57"/>
    </row>
    <row r="109" ht="22.5" customHeight="1">
      <c r="A109" s="118"/>
      <c r="F109" s="10"/>
      <c r="H109" s="8" t="s">
        <v>843</v>
      </c>
      <c r="I109" s="10"/>
      <c r="J109" s="10"/>
      <c r="O109" s="57"/>
    </row>
    <row r="110" ht="22.5" customHeight="1">
      <c r="A110" s="119"/>
      <c r="F110" s="10"/>
      <c r="H110" s="8" t="s">
        <v>844</v>
      </c>
      <c r="I110" s="8" t="s">
        <v>845</v>
      </c>
      <c r="J110" s="8" t="s">
        <v>846</v>
      </c>
      <c r="O110" s="57"/>
    </row>
    <row r="111" ht="22.5" customHeight="1">
      <c r="A111" s="120"/>
      <c r="F111" s="10"/>
      <c r="G111" s="6" t="s">
        <v>847</v>
      </c>
      <c r="H111" s="8" t="s">
        <v>848</v>
      </c>
      <c r="I111" s="10"/>
      <c r="J111" s="10"/>
      <c r="O111" s="57"/>
    </row>
    <row r="112" ht="22.5" customHeight="1">
      <c r="A112" s="121"/>
      <c r="F112" s="10"/>
      <c r="G112" s="6" t="s">
        <v>849</v>
      </c>
      <c r="H112" s="8" t="s">
        <v>850</v>
      </c>
      <c r="I112" s="10"/>
      <c r="J112" s="10"/>
      <c r="O112" s="57"/>
    </row>
    <row r="113" ht="22.5" customHeight="1">
      <c r="A113" s="122"/>
      <c r="F113" s="10"/>
      <c r="G113" s="6" t="s">
        <v>851</v>
      </c>
      <c r="H113" s="8" t="s">
        <v>852</v>
      </c>
      <c r="I113" s="10"/>
      <c r="J113" s="10"/>
      <c r="O113" s="57"/>
    </row>
    <row r="114" ht="22.5" customHeight="1">
      <c r="A114" s="123"/>
      <c r="F114" s="10"/>
      <c r="G114" s="6" t="s">
        <v>853</v>
      </c>
      <c r="H114" s="8" t="s">
        <v>854</v>
      </c>
      <c r="I114" s="10"/>
      <c r="J114" s="10"/>
      <c r="O114" s="57"/>
    </row>
    <row r="115" ht="22.5" customHeight="1">
      <c r="A115" s="124"/>
      <c r="F115" s="10"/>
      <c r="H115" s="8" t="s">
        <v>855</v>
      </c>
      <c r="I115" s="8" t="s">
        <v>856</v>
      </c>
      <c r="J115" s="8" t="s">
        <v>857</v>
      </c>
      <c r="O115" s="57"/>
    </row>
    <row r="116" ht="22.5" customHeight="1">
      <c r="A116" s="125"/>
      <c r="F116" s="10"/>
      <c r="G116" s="6" t="s">
        <v>858</v>
      </c>
      <c r="H116" s="8" t="s">
        <v>859</v>
      </c>
      <c r="I116" s="10"/>
      <c r="J116" s="10"/>
      <c r="O116" s="57"/>
    </row>
    <row r="117" ht="22.5" customHeight="1">
      <c r="A117" s="126"/>
      <c r="F117" s="10"/>
      <c r="G117" s="6" t="s">
        <v>860</v>
      </c>
      <c r="H117" s="8" t="s">
        <v>861</v>
      </c>
      <c r="I117" s="10"/>
      <c r="J117" s="10"/>
      <c r="O117" s="57"/>
    </row>
    <row r="118" ht="22.5" customHeight="1">
      <c r="A118" s="127"/>
      <c r="F118" s="10"/>
      <c r="H118" s="8" t="s">
        <v>862</v>
      </c>
      <c r="I118" s="8" t="s">
        <v>863</v>
      </c>
      <c r="J118" s="8" t="s">
        <v>864</v>
      </c>
      <c r="O118" s="57"/>
    </row>
    <row r="119" ht="22.5" customHeight="1">
      <c r="A119" s="128"/>
      <c r="F119" s="10"/>
      <c r="G119" s="6" t="s">
        <v>865</v>
      </c>
      <c r="H119" s="8" t="s">
        <v>866</v>
      </c>
      <c r="I119" s="10"/>
      <c r="J119" s="10"/>
      <c r="O119" s="57"/>
    </row>
    <row r="120" ht="22.5" customHeight="1">
      <c r="A120" s="129"/>
      <c r="F120" s="10"/>
      <c r="G120" s="6" t="s">
        <v>867</v>
      </c>
      <c r="H120" s="8" t="s">
        <v>868</v>
      </c>
      <c r="I120" s="10"/>
      <c r="J120" s="10"/>
      <c r="O120" s="57"/>
    </row>
    <row r="121" ht="22.5" customHeight="1">
      <c r="A121" s="130"/>
      <c r="F121" s="10"/>
      <c r="G121" s="6" t="s">
        <v>869</v>
      </c>
      <c r="H121" s="8" t="s">
        <v>870</v>
      </c>
      <c r="I121" s="10"/>
      <c r="J121" s="10"/>
      <c r="O121" s="57"/>
    </row>
    <row r="122" ht="22.5" customHeight="1">
      <c r="A122" s="131"/>
      <c r="F122" s="10"/>
      <c r="G122" s="6" t="s">
        <v>871</v>
      </c>
      <c r="H122" s="8" t="s">
        <v>872</v>
      </c>
      <c r="I122" s="10"/>
      <c r="J122" s="10"/>
      <c r="O122" s="57"/>
    </row>
    <row r="123" ht="22.5" customHeight="1">
      <c r="A123" s="132"/>
      <c r="F123" s="10"/>
      <c r="G123" s="6" t="s">
        <v>873</v>
      </c>
      <c r="H123" s="8" t="s">
        <v>874</v>
      </c>
      <c r="I123" s="10"/>
      <c r="J123" s="10"/>
      <c r="O123" s="57"/>
    </row>
    <row r="124" ht="22.5" customHeight="1">
      <c r="A124" s="133"/>
      <c r="F124" s="10"/>
      <c r="G124" s="6" t="s">
        <v>875</v>
      </c>
      <c r="H124" s="8" t="s">
        <v>876</v>
      </c>
      <c r="I124" s="10"/>
      <c r="J124" s="10"/>
      <c r="O124" s="57"/>
    </row>
    <row r="125" ht="22.5" customHeight="1">
      <c r="A125" s="134"/>
      <c r="F125" s="10"/>
      <c r="H125" s="8" t="s">
        <v>877</v>
      </c>
      <c r="I125" s="8" t="s">
        <v>878</v>
      </c>
      <c r="J125" s="8" t="s">
        <v>879</v>
      </c>
      <c r="O125" s="57"/>
    </row>
    <row r="126" ht="22.5" customHeight="1">
      <c r="A126" s="135"/>
      <c r="F126" s="10"/>
      <c r="H126" s="8" t="s">
        <v>880</v>
      </c>
      <c r="I126" s="8" t="s">
        <v>881</v>
      </c>
      <c r="J126" s="8" t="s">
        <v>882</v>
      </c>
      <c r="O126" s="57"/>
    </row>
    <row r="127" ht="22.5" customHeight="1">
      <c r="A127" s="136"/>
      <c r="F127" s="10"/>
      <c r="G127" s="6" t="s">
        <v>883</v>
      </c>
      <c r="H127" s="8" t="s">
        <v>884</v>
      </c>
      <c r="I127" s="10"/>
      <c r="J127" s="10"/>
      <c r="O127" s="57"/>
    </row>
    <row r="128" ht="22.5" customHeight="1">
      <c r="A128" s="137"/>
      <c r="F128" s="10"/>
      <c r="G128" s="6" t="s">
        <v>885</v>
      </c>
      <c r="H128" s="8" t="s">
        <v>886</v>
      </c>
      <c r="I128" s="10"/>
      <c r="J128" s="10"/>
      <c r="O128" s="57"/>
    </row>
    <row r="129" ht="22.5" customHeight="1">
      <c r="A129" s="138"/>
      <c r="F129" s="10"/>
      <c r="H129" s="8" t="s">
        <v>887</v>
      </c>
      <c r="I129" s="8" t="s">
        <v>888</v>
      </c>
      <c r="J129" s="8" t="s">
        <v>889</v>
      </c>
      <c r="O129" s="57"/>
    </row>
    <row r="130" ht="22.5" customHeight="1">
      <c r="A130" s="139"/>
      <c r="F130" s="10"/>
      <c r="G130" s="6" t="s">
        <v>890</v>
      </c>
      <c r="H130" s="8" t="s">
        <v>891</v>
      </c>
      <c r="I130" s="10"/>
      <c r="J130" s="10"/>
      <c r="O130" s="57"/>
    </row>
    <row r="131" ht="22.5" customHeight="1">
      <c r="F131" s="10"/>
      <c r="G131" s="6" t="s">
        <v>892</v>
      </c>
      <c r="H131" s="8" t="s">
        <v>893</v>
      </c>
      <c r="I131" s="10"/>
      <c r="J131" s="10"/>
      <c r="O131" s="57"/>
    </row>
    <row r="132" ht="22.5" customHeight="1">
      <c r="A132" s="140"/>
      <c r="F132" s="10"/>
      <c r="G132" s="6" t="s">
        <v>894</v>
      </c>
      <c r="H132" s="8" t="s">
        <v>895</v>
      </c>
      <c r="I132" s="10"/>
      <c r="J132" s="10"/>
      <c r="O132" s="57"/>
    </row>
    <row r="133" ht="22.5" customHeight="1">
      <c r="A133" s="141"/>
      <c r="F133" s="10"/>
      <c r="G133" s="6" t="s">
        <v>896</v>
      </c>
      <c r="H133" s="8" t="s">
        <v>897</v>
      </c>
      <c r="I133" s="10"/>
      <c r="J133" s="10"/>
      <c r="O133" s="57"/>
    </row>
    <row r="134" ht="22.5" customHeight="1">
      <c r="A134" s="142"/>
      <c r="F134" s="10"/>
      <c r="G134" s="6" t="s">
        <v>898</v>
      </c>
      <c r="H134" s="8" t="s">
        <v>899</v>
      </c>
      <c r="I134" s="10"/>
      <c r="J134" s="10"/>
      <c r="O134" s="57"/>
    </row>
    <row r="135" ht="22.5" customHeight="1">
      <c r="A135" s="143"/>
      <c r="F135" s="10"/>
      <c r="G135" s="6" t="s">
        <v>900</v>
      </c>
      <c r="H135" s="8" t="s">
        <v>901</v>
      </c>
      <c r="I135" s="10"/>
      <c r="J135" s="10"/>
      <c r="O135" s="57"/>
    </row>
    <row r="136" ht="22.5" customHeight="1">
      <c r="A136" s="144"/>
      <c r="F136" s="10"/>
      <c r="G136" s="6" t="s">
        <v>902</v>
      </c>
      <c r="H136" s="8" t="s">
        <v>903</v>
      </c>
      <c r="I136" s="10"/>
      <c r="J136" s="10"/>
      <c r="O136" s="57"/>
    </row>
    <row r="137" ht="22.5" customHeight="1">
      <c r="A137" s="145"/>
      <c r="F137" s="10"/>
      <c r="G137" s="6" t="s">
        <v>904</v>
      </c>
      <c r="H137" s="8" t="s">
        <v>905</v>
      </c>
      <c r="I137" s="10"/>
      <c r="J137" s="10"/>
      <c r="O137" s="57"/>
    </row>
    <row r="138" ht="22.5" customHeight="1">
      <c r="A138" s="141"/>
      <c r="F138" s="10"/>
      <c r="G138" s="6" t="s">
        <v>906</v>
      </c>
      <c r="H138" s="8" t="s">
        <v>907</v>
      </c>
      <c r="I138" s="10"/>
      <c r="J138" s="10"/>
      <c r="O138" s="57"/>
    </row>
    <row r="139" ht="22.5" customHeight="1">
      <c r="A139" s="146"/>
      <c r="F139" s="10"/>
      <c r="H139" s="8" t="s">
        <v>908</v>
      </c>
      <c r="I139" s="8" t="s">
        <v>909</v>
      </c>
      <c r="J139" s="8" t="s">
        <v>910</v>
      </c>
      <c r="O139" s="57"/>
    </row>
    <row r="140" ht="22.5" customHeight="1">
      <c r="A140" s="147"/>
      <c r="F140" s="10"/>
      <c r="G140" s="6" t="s">
        <v>911</v>
      </c>
      <c r="H140" s="8" t="s">
        <v>912</v>
      </c>
      <c r="I140" s="10"/>
      <c r="J140" s="10"/>
      <c r="O140" s="57"/>
    </row>
    <row r="141" ht="22.5" customHeight="1">
      <c r="A141" s="148"/>
      <c r="F141" s="10"/>
      <c r="G141" s="6" t="s">
        <v>913</v>
      </c>
      <c r="H141" s="8" t="s">
        <v>914</v>
      </c>
      <c r="I141" s="8" t="s">
        <v>915</v>
      </c>
      <c r="J141" s="8" t="s">
        <v>916</v>
      </c>
      <c r="O141" s="57"/>
    </row>
    <row r="142" ht="22.5" customHeight="1">
      <c r="A142" s="149"/>
      <c r="F142" s="10"/>
      <c r="G142" s="6" t="s">
        <v>917</v>
      </c>
      <c r="H142" s="8" t="s">
        <v>918</v>
      </c>
      <c r="I142" s="10"/>
      <c r="J142" s="10"/>
      <c r="O142" s="57"/>
    </row>
    <row r="143" ht="22.5" customHeight="1">
      <c r="A143" s="150"/>
      <c r="F143" s="10"/>
      <c r="G143" s="6" t="s">
        <v>919</v>
      </c>
      <c r="H143" s="8" t="s">
        <v>920</v>
      </c>
      <c r="I143" s="8" t="s">
        <v>921</v>
      </c>
      <c r="J143" s="8" t="s">
        <v>922</v>
      </c>
      <c r="O143" s="57"/>
    </row>
    <row r="144" ht="22.5" customHeight="1">
      <c r="A144" s="151"/>
      <c r="F144" s="10"/>
      <c r="G144" s="6" t="s">
        <v>923</v>
      </c>
      <c r="H144" s="8" t="s">
        <v>924</v>
      </c>
      <c r="I144" s="10"/>
      <c r="J144" s="10"/>
      <c r="O144" s="57"/>
    </row>
    <row r="145" ht="22.5" customHeight="1">
      <c r="A145" s="152"/>
      <c r="F145" s="10"/>
      <c r="G145" s="6" t="s">
        <v>925</v>
      </c>
      <c r="H145" s="8" t="s">
        <v>926</v>
      </c>
      <c r="I145" s="10"/>
      <c r="J145" s="10"/>
      <c r="O145" s="57"/>
    </row>
    <row r="146" ht="22.5" customHeight="1">
      <c r="A146" s="153"/>
      <c r="F146" s="10"/>
      <c r="G146" s="6" t="s">
        <v>927</v>
      </c>
      <c r="H146" s="8" t="s">
        <v>928</v>
      </c>
      <c r="I146" s="10"/>
      <c r="J146" s="10"/>
      <c r="O146" s="57"/>
    </row>
    <row r="147" ht="22.5" customHeight="1">
      <c r="A147" s="154"/>
      <c r="F147" s="10"/>
      <c r="G147" s="6" t="s">
        <v>929</v>
      </c>
      <c r="H147" s="8" t="s">
        <v>930</v>
      </c>
      <c r="I147" s="10"/>
      <c r="J147" s="10"/>
      <c r="O147" s="57"/>
    </row>
    <row r="148" ht="22.5" customHeight="1">
      <c r="A148" s="155"/>
      <c r="F148" s="10"/>
      <c r="G148" s="6" t="s">
        <v>931</v>
      </c>
      <c r="H148" s="8" t="s">
        <v>932</v>
      </c>
      <c r="I148" s="10"/>
      <c r="J148" s="10"/>
      <c r="O148" s="57"/>
    </row>
    <row r="149" ht="22.5" customHeight="1">
      <c r="A149" s="156"/>
      <c r="F149" s="10"/>
      <c r="G149" s="6" t="s">
        <v>933</v>
      </c>
      <c r="H149" s="157" t="s">
        <v>934</v>
      </c>
      <c r="I149" s="158"/>
      <c r="J149" s="10"/>
      <c r="O149" s="57"/>
    </row>
    <row r="150" ht="22.5" customHeight="1">
      <c r="A150" s="159"/>
      <c r="F150" s="10"/>
      <c r="G150" s="6" t="s">
        <v>935</v>
      </c>
      <c r="H150" s="160" t="s">
        <v>936</v>
      </c>
      <c r="I150" s="158"/>
      <c r="J150" s="10"/>
      <c r="O150" s="57"/>
    </row>
    <row r="151" ht="22.5" customHeight="1">
      <c r="A151" s="161"/>
      <c r="F151" s="10"/>
      <c r="G151" s="6" t="s">
        <v>937</v>
      </c>
      <c r="H151" s="157" t="s">
        <v>938</v>
      </c>
      <c r="I151" s="162" t="s">
        <v>939</v>
      </c>
      <c r="J151" s="8" t="s">
        <v>940</v>
      </c>
      <c r="O151" s="57"/>
    </row>
    <row r="152" ht="22.5" customHeight="1">
      <c r="A152" s="163"/>
      <c r="F152" s="10"/>
      <c r="H152" s="8" t="s">
        <v>941</v>
      </c>
      <c r="I152" s="10"/>
      <c r="J152" s="10"/>
      <c r="O152" s="57"/>
    </row>
    <row r="153" ht="22.5" customHeight="1">
      <c r="A153" s="164"/>
      <c r="F153" s="10"/>
      <c r="H153" s="8" t="s">
        <v>942</v>
      </c>
      <c r="I153" s="10"/>
      <c r="J153" s="10"/>
      <c r="O153" s="57"/>
    </row>
    <row r="154" ht="22.5" customHeight="1">
      <c r="A154" s="165"/>
      <c r="F154" s="10"/>
      <c r="G154" s="6" t="s">
        <v>943</v>
      </c>
      <c r="H154" s="8" t="s">
        <v>944</v>
      </c>
      <c r="I154" s="10"/>
      <c r="J154" s="10"/>
      <c r="O154" s="57"/>
    </row>
    <row r="155" ht="22.5" customHeight="1">
      <c r="A155" s="166"/>
      <c r="F155" s="10"/>
      <c r="G155" s="6" t="s">
        <v>945</v>
      </c>
      <c r="H155" s="8" t="s">
        <v>946</v>
      </c>
      <c r="I155" s="10"/>
      <c r="J155" s="10"/>
      <c r="O155" s="57"/>
    </row>
    <row r="156" ht="22.5" customHeight="1">
      <c r="A156" s="167"/>
      <c r="F156" s="10"/>
      <c r="G156" s="6" t="s">
        <v>947</v>
      </c>
      <c r="H156" s="8" t="s">
        <v>948</v>
      </c>
      <c r="I156" s="10"/>
      <c r="J156" s="10"/>
      <c r="O156" s="57"/>
    </row>
    <row r="157" ht="22.5" customHeight="1">
      <c r="A157" s="168"/>
      <c r="F157" s="10"/>
      <c r="G157" s="6" t="s">
        <v>949</v>
      </c>
      <c r="H157" s="8" t="s">
        <v>950</v>
      </c>
      <c r="I157" s="8" t="s">
        <v>951</v>
      </c>
      <c r="J157" s="8" t="s">
        <v>952</v>
      </c>
      <c r="O157" s="57"/>
    </row>
    <row r="158" ht="22.5" customHeight="1">
      <c r="A158" s="169"/>
      <c r="F158" s="10"/>
      <c r="G158" s="6" t="s">
        <v>953</v>
      </c>
      <c r="H158" s="8" t="s">
        <v>954</v>
      </c>
      <c r="I158" s="8" t="s">
        <v>955</v>
      </c>
      <c r="J158" s="8" t="s">
        <v>956</v>
      </c>
      <c r="O158" s="57"/>
    </row>
    <row r="159" ht="22.5" customHeight="1">
      <c r="A159" s="170"/>
      <c r="F159" s="10"/>
      <c r="H159" s="8" t="s">
        <v>957</v>
      </c>
      <c r="I159" s="8" t="s">
        <v>958</v>
      </c>
      <c r="J159" s="8" t="s">
        <v>959</v>
      </c>
      <c r="O159" s="57"/>
    </row>
    <row r="160" ht="22.5" customHeight="1">
      <c r="A160" s="171"/>
      <c r="F160" s="10"/>
      <c r="H160" s="8" t="s">
        <v>960</v>
      </c>
      <c r="I160" s="8" t="s">
        <v>961</v>
      </c>
      <c r="J160" s="8" t="s">
        <v>962</v>
      </c>
      <c r="O160" s="57"/>
    </row>
    <row r="161" ht="22.5" customHeight="1">
      <c r="A161" s="172"/>
      <c r="F161" s="10"/>
      <c r="G161" s="6" t="s">
        <v>963</v>
      </c>
      <c r="H161" s="8" t="s">
        <v>964</v>
      </c>
      <c r="I161" s="10"/>
      <c r="J161" s="10"/>
      <c r="O161" s="57"/>
    </row>
    <row r="162" ht="22.5" customHeight="1">
      <c r="A162" s="173"/>
      <c r="F162" s="10"/>
      <c r="G162" s="6" t="s">
        <v>965</v>
      </c>
      <c r="H162" s="8" t="s">
        <v>966</v>
      </c>
      <c r="I162" s="10"/>
      <c r="J162" s="10"/>
      <c r="O162" s="57"/>
    </row>
    <row r="163" ht="22.5" customHeight="1">
      <c r="A163" s="174"/>
      <c r="F163" s="10"/>
      <c r="G163" s="6" t="s">
        <v>967</v>
      </c>
      <c r="H163" s="8" t="s">
        <v>968</v>
      </c>
      <c r="I163" s="6" t="s">
        <v>969</v>
      </c>
      <c r="J163" s="8" t="s">
        <v>970</v>
      </c>
      <c r="O163" s="57"/>
    </row>
    <row r="164" ht="22.5" customHeight="1">
      <c r="A164" s="175"/>
      <c r="F164" s="10"/>
      <c r="G164" s="6" t="s">
        <v>971</v>
      </c>
      <c r="H164" s="8" t="s">
        <v>972</v>
      </c>
      <c r="I164" s="8" t="s">
        <v>973</v>
      </c>
      <c r="J164" s="8" t="s">
        <v>974</v>
      </c>
      <c r="O164" s="57"/>
    </row>
    <row r="165" ht="22.5" customHeight="1">
      <c r="A165" s="176"/>
      <c r="F165" s="10"/>
      <c r="G165" s="6" t="s">
        <v>975</v>
      </c>
      <c r="H165" s="8" t="s">
        <v>976</v>
      </c>
      <c r="I165" s="10"/>
      <c r="J165" s="10"/>
      <c r="O165" s="57"/>
    </row>
    <row r="166" ht="22.5" customHeight="1">
      <c r="A166" s="177"/>
      <c r="F166" s="10"/>
      <c r="G166" s="6" t="s">
        <v>977</v>
      </c>
      <c r="H166" s="8" t="s">
        <v>978</v>
      </c>
      <c r="I166" s="10"/>
      <c r="J166" s="10"/>
      <c r="O166" s="57"/>
    </row>
    <row r="167" ht="22.5" customHeight="1">
      <c r="A167" s="178"/>
      <c r="F167" s="10"/>
      <c r="G167" s="6" t="s">
        <v>979</v>
      </c>
      <c r="H167" s="8" t="s">
        <v>980</v>
      </c>
      <c r="I167" s="10"/>
      <c r="J167" s="10"/>
      <c r="O167" s="57"/>
    </row>
    <row r="168" ht="22.5" customHeight="1">
      <c r="A168" s="179"/>
      <c r="F168" s="10"/>
      <c r="G168" s="6" t="s">
        <v>981</v>
      </c>
      <c r="H168" s="8" t="s">
        <v>982</v>
      </c>
      <c r="I168" s="8" t="s">
        <v>983</v>
      </c>
      <c r="J168" s="8" t="s">
        <v>984</v>
      </c>
      <c r="O168" s="57"/>
    </row>
    <row r="169" ht="22.5" customHeight="1">
      <c r="A169" s="180"/>
      <c r="F169" s="10"/>
      <c r="G169" s="6" t="s">
        <v>985</v>
      </c>
      <c r="H169" s="8" t="s">
        <v>986</v>
      </c>
      <c r="I169" s="8" t="s">
        <v>987</v>
      </c>
      <c r="J169" s="8" t="s">
        <v>988</v>
      </c>
      <c r="O169" s="57"/>
    </row>
    <row r="170" ht="22.5" customHeight="1">
      <c r="A170" s="181"/>
      <c r="F170" s="10"/>
      <c r="G170" s="6" t="s">
        <v>989</v>
      </c>
      <c r="H170" s="8" t="s">
        <v>990</v>
      </c>
      <c r="I170" s="10"/>
      <c r="J170" s="10"/>
      <c r="O170" s="57"/>
    </row>
    <row r="171" ht="22.5" customHeight="1">
      <c r="A171" s="182"/>
      <c r="F171" s="10"/>
      <c r="G171" s="6" t="s">
        <v>991</v>
      </c>
      <c r="H171" s="8" t="s">
        <v>992</v>
      </c>
      <c r="O171" s="57"/>
    </row>
    <row r="172" ht="22.5" customHeight="1">
      <c r="A172" s="183"/>
      <c r="F172" s="10"/>
      <c r="G172" s="6" t="s">
        <v>993</v>
      </c>
      <c r="H172" s="8" t="s">
        <v>994</v>
      </c>
      <c r="I172" s="10"/>
      <c r="J172" s="10"/>
      <c r="O172" s="57"/>
    </row>
    <row r="173" ht="22.5" customHeight="1">
      <c r="A173" s="184"/>
      <c r="F173" s="10"/>
      <c r="G173" s="6" t="s">
        <v>995</v>
      </c>
      <c r="H173" s="8" t="s">
        <v>996</v>
      </c>
      <c r="I173" s="8" t="s">
        <v>997</v>
      </c>
      <c r="J173" s="8" t="s">
        <v>998</v>
      </c>
      <c r="O173" s="57"/>
    </row>
    <row r="174" ht="22.5" customHeight="1">
      <c r="A174" s="185"/>
      <c r="F174" s="10"/>
      <c r="G174" s="6" t="s">
        <v>999</v>
      </c>
      <c r="H174" s="8" t="s">
        <v>1000</v>
      </c>
      <c r="I174" s="10"/>
      <c r="J174" s="10"/>
      <c r="O174" s="57"/>
    </row>
    <row r="175" ht="22.5" customHeight="1">
      <c r="A175" s="186"/>
      <c r="F175" s="10"/>
      <c r="G175" s="6" t="s">
        <v>1001</v>
      </c>
      <c r="H175" s="8" t="s">
        <v>1002</v>
      </c>
      <c r="I175" s="10"/>
      <c r="J175" s="10"/>
      <c r="O175" s="57"/>
    </row>
    <row r="176" ht="22.5" customHeight="1">
      <c r="A176" s="187"/>
      <c r="F176" s="10"/>
      <c r="G176" s="6" t="s">
        <v>1003</v>
      </c>
      <c r="H176" s="8" t="s">
        <v>1004</v>
      </c>
      <c r="I176" s="10"/>
      <c r="J176" s="10"/>
      <c r="O176" s="57"/>
    </row>
    <row r="177" ht="22.5" customHeight="1">
      <c r="A177" s="188"/>
      <c r="F177" s="10"/>
      <c r="G177" s="6" t="s">
        <v>1005</v>
      </c>
      <c r="H177" s="8" t="s">
        <v>1006</v>
      </c>
      <c r="I177" s="10"/>
      <c r="J177" s="10"/>
      <c r="O177" s="57"/>
    </row>
    <row r="178" ht="22.5" customHeight="1">
      <c r="A178" s="189"/>
      <c r="F178" s="10"/>
      <c r="G178" s="6" t="s">
        <v>1007</v>
      </c>
      <c r="H178" s="8" t="s">
        <v>1008</v>
      </c>
      <c r="I178" s="8" t="s">
        <v>1009</v>
      </c>
      <c r="J178" s="8" t="s">
        <v>1010</v>
      </c>
      <c r="O178" s="57"/>
    </row>
    <row r="179" ht="22.5" customHeight="1">
      <c r="A179" s="190"/>
      <c r="F179" s="10"/>
      <c r="G179" s="6" t="s">
        <v>1011</v>
      </c>
      <c r="H179" s="8" t="s">
        <v>1012</v>
      </c>
      <c r="I179" s="10"/>
      <c r="J179" s="10"/>
      <c r="O179" s="57"/>
    </row>
    <row r="180" ht="22.5" customHeight="1">
      <c r="A180" s="191"/>
      <c r="F180" s="10"/>
      <c r="G180" s="6" t="s">
        <v>1013</v>
      </c>
      <c r="H180" s="8" t="s">
        <v>1014</v>
      </c>
      <c r="I180" s="10"/>
      <c r="J180" s="10"/>
      <c r="O180" s="57"/>
    </row>
    <row r="181" ht="22.5" customHeight="1">
      <c r="A181" s="192"/>
      <c r="F181" s="10"/>
      <c r="G181" s="6" t="s">
        <v>1015</v>
      </c>
      <c r="H181" s="8" t="s">
        <v>1016</v>
      </c>
      <c r="I181" s="10"/>
      <c r="J181" s="10"/>
      <c r="O181" s="57"/>
    </row>
    <row r="182" ht="22.5" customHeight="1">
      <c r="A182" s="193"/>
      <c r="F182" s="10"/>
      <c r="G182" s="6" t="s">
        <v>1017</v>
      </c>
      <c r="H182" s="8" t="s">
        <v>1018</v>
      </c>
      <c r="I182" s="10"/>
      <c r="J182" s="10"/>
      <c r="O182" s="57"/>
    </row>
    <row r="183" ht="22.5" customHeight="1">
      <c r="A183" s="194"/>
      <c r="F183" s="10"/>
      <c r="G183" s="6" t="s">
        <v>1019</v>
      </c>
      <c r="H183" s="8" t="s">
        <v>1020</v>
      </c>
      <c r="I183" s="10"/>
      <c r="J183" s="10"/>
      <c r="O183" s="57"/>
    </row>
    <row r="184" ht="22.5" customHeight="1">
      <c r="A184" s="195"/>
      <c r="F184" s="10"/>
      <c r="G184" s="6" t="s">
        <v>1021</v>
      </c>
      <c r="H184" s="8" t="s">
        <v>1022</v>
      </c>
      <c r="I184" s="10"/>
      <c r="J184" s="10"/>
      <c r="O184" s="57"/>
    </row>
    <row r="185" ht="22.5" customHeight="1">
      <c r="A185" s="196"/>
      <c r="F185" s="10"/>
      <c r="G185" s="6" t="s">
        <v>1023</v>
      </c>
      <c r="H185" s="8" t="s">
        <v>1024</v>
      </c>
      <c r="I185" s="10"/>
      <c r="J185" s="10"/>
      <c r="O185" s="57"/>
    </row>
    <row r="186" ht="22.5" customHeight="1">
      <c r="A186" s="197"/>
      <c r="F186" s="10"/>
      <c r="G186" s="6" t="s">
        <v>1025</v>
      </c>
      <c r="H186" s="8" t="s">
        <v>1026</v>
      </c>
      <c r="I186" s="10"/>
      <c r="J186" s="10"/>
      <c r="O186" s="57"/>
    </row>
    <row r="187" ht="22.5" customHeight="1">
      <c r="A187" s="198"/>
      <c r="F187" s="10"/>
      <c r="G187" s="6" t="s">
        <v>1027</v>
      </c>
      <c r="H187" s="8" t="s">
        <v>1028</v>
      </c>
      <c r="I187" s="10"/>
      <c r="J187" s="10"/>
      <c r="O187" s="57"/>
    </row>
    <row r="188" ht="22.5" customHeight="1">
      <c r="A188" s="199"/>
      <c r="F188" s="10"/>
      <c r="G188" s="6" t="s">
        <v>1029</v>
      </c>
      <c r="H188" s="8" t="s">
        <v>1030</v>
      </c>
      <c r="I188" s="8" t="s">
        <v>1031</v>
      </c>
      <c r="J188" s="8" t="s">
        <v>1032</v>
      </c>
      <c r="O188" s="57"/>
    </row>
    <row r="189" ht="22.5" customHeight="1">
      <c r="A189" s="200"/>
      <c r="F189" s="10"/>
      <c r="G189" s="6" t="s">
        <v>1033</v>
      </c>
      <c r="H189" s="8" t="s">
        <v>1034</v>
      </c>
      <c r="I189" s="8" t="s">
        <v>1035</v>
      </c>
      <c r="J189" s="8" t="s">
        <v>1036</v>
      </c>
      <c r="O189" s="57"/>
    </row>
    <row r="190" ht="22.5" customHeight="1">
      <c r="A190" s="201"/>
      <c r="F190" s="10"/>
      <c r="G190" s="6" t="s">
        <v>1037</v>
      </c>
      <c r="H190" s="8" t="s">
        <v>1038</v>
      </c>
      <c r="I190" s="10"/>
      <c r="J190" s="10"/>
      <c r="O190" s="57"/>
    </row>
    <row r="191" ht="22.5" customHeight="1">
      <c r="A191" s="202"/>
      <c r="F191" s="10"/>
      <c r="G191" s="6" t="s">
        <v>1039</v>
      </c>
      <c r="H191" s="8" t="s">
        <v>1040</v>
      </c>
      <c r="I191" s="10"/>
      <c r="J191" s="10"/>
      <c r="O191" s="57"/>
    </row>
    <row r="192" ht="22.5" customHeight="1">
      <c r="A192" s="203"/>
      <c r="F192" s="10"/>
      <c r="G192" s="6" t="s">
        <v>1041</v>
      </c>
      <c r="H192" s="8" t="s">
        <v>1042</v>
      </c>
      <c r="I192" s="10"/>
      <c r="J192" s="10"/>
      <c r="O192" s="57"/>
    </row>
    <row r="193" ht="22.5" customHeight="1">
      <c r="A193" s="204"/>
      <c r="F193" s="10"/>
      <c r="G193" s="6" t="s">
        <v>1043</v>
      </c>
      <c r="H193" s="8" t="s">
        <v>1044</v>
      </c>
      <c r="I193" s="10"/>
      <c r="J193" s="10"/>
      <c r="O193" s="57"/>
    </row>
    <row r="194" ht="22.5" customHeight="1">
      <c r="A194" s="205"/>
      <c r="F194" s="10"/>
      <c r="G194" s="6" t="s">
        <v>1045</v>
      </c>
      <c r="H194" s="8" t="s">
        <v>1046</v>
      </c>
      <c r="I194" s="8" t="s">
        <v>1047</v>
      </c>
      <c r="J194" s="8" t="s">
        <v>1048</v>
      </c>
      <c r="O194" s="57"/>
    </row>
    <row r="195" ht="22.5" customHeight="1">
      <c r="A195" s="206"/>
      <c r="F195" s="10"/>
      <c r="G195" s="6" t="s">
        <v>1049</v>
      </c>
      <c r="H195" s="8" t="s">
        <v>1050</v>
      </c>
      <c r="I195" s="8" t="s">
        <v>1051</v>
      </c>
      <c r="J195" s="8" t="s">
        <v>1052</v>
      </c>
      <c r="O195" s="57"/>
    </row>
    <row r="196" ht="22.5" customHeight="1">
      <c r="A196" s="207"/>
      <c r="F196" s="10"/>
      <c r="G196" s="6" t="s">
        <v>1053</v>
      </c>
      <c r="H196" s="8" t="s">
        <v>1054</v>
      </c>
      <c r="I196" s="10"/>
      <c r="J196" s="10"/>
      <c r="O196" s="57"/>
    </row>
    <row r="197" ht="22.5" customHeight="1">
      <c r="A197" s="208"/>
      <c r="F197" s="10"/>
      <c r="G197" s="6" t="s">
        <v>1055</v>
      </c>
      <c r="H197" s="8" t="s">
        <v>1056</v>
      </c>
      <c r="I197" s="10"/>
      <c r="J197" s="10"/>
      <c r="O197" s="57"/>
    </row>
    <row r="198" ht="22.5" customHeight="1">
      <c r="A198" s="209"/>
      <c r="F198" s="10"/>
      <c r="G198" s="6" t="s">
        <v>1057</v>
      </c>
      <c r="H198" s="8" t="s">
        <v>1058</v>
      </c>
      <c r="I198" s="10"/>
      <c r="J198" s="10"/>
      <c r="O198" s="57"/>
    </row>
    <row r="199" ht="22.5" customHeight="1">
      <c r="A199" s="210"/>
      <c r="F199" s="10"/>
      <c r="G199" s="6" t="s">
        <v>1059</v>
      </c>
      <c r="H199" s="8" t="s">
        <v>1060</v>
      </c>
      <c r="I199" s="10"/>
      <c r="J199" s="10"/>
      <c r="O199" s="57"/>
    </row>
    <row r="200" ht="22.5" customHeight="1">
      <c r="A200" s="211"/>
      <c r="F200" s="10"/>
      <c r="G200" s="6" t="s">
        <v>1061</v>
      </c>
      <c r="H200" s="8" t="s">
        <v>1062</v>
      </c>
      <c r="I200" s="10"/>
      <c r="J200" s="10"/>
      <c r="O200" s="57"/>
    </row>
    <row r="201" ht="22.5" customHeight="1">
      <c r="A201" s="212"/>
      <c r="F201" s="10"/>
      <c r="G201" s="6" t="s">
        <v>1063</v>
      </c>
      <c r="H201" s="8" t="s">
        <v>1064</v>
      </c>
      <c r="I201" s="8" t="s">
        <v>1065</v>
      </c>
      <c r="J201" s="8" t="s">
        <v>1066</v>
      </c>
      <c r="O201" s="57"/>
    </row>
    <row r="202" ht="22.5" customHeight="1">
      <c r="A202" s="213"/>
      <c r="F202" s="10"/>
      <c r="G202" s="6" t="s">
        <v>1067</v>
      </c>
      <c r="H202" s="8" t="s">
        <v>1068</v>
      </c>
      <c r="I202" s="10"/>
      <c r="J202" s="10"/>
      <c r="O202" s="57"/>
    </row>
    <row r="203" ht="22.5" customHeight="1">
      <c r="A203" s="214"/>
      <c r="F203" s="10"/>
      <c r="G203" s="6" t="s">
        <v>1069</v>
      </c>
      <c r="H203" s="8" t="s">
        <v>1070</v>
      </c>
      <c r="I203" s="8" t="s">
        <v>1071</v>
      </c>
      <c r="J203" s="8" t="s">
        <v>1072</v>
      </c>
      <c r="O203" s="57"/>
    </row>
    <row r="204" ht="22.5" customHeight="1">
      <c r="A204" s="215"/>
      <c r="F204" s="10"/>
      <c r="G204" s="6" t="s">
        <v>1073</v>
      </c>
      <c r="H204" s="8" t="s">
        <v>1074</v>
      </c>
      <c r="I204" s="10"/>
      <c r="J204" s="10"/>
      <c r="O204" s="57"/>
    </row>
    <row r="205" ht="22.5" customHeight="1">
      <c r="A205" s="216"/>
      <c r="F205" s="10"/>
      <c r="G205" s="6" t="s">
        <v>1075</v>
      </c>
      <c r="H205" s="8" t="s">
        <v>1076</v>
      </c>
      <c r="I205" s="10"/>
      <c r="J205" s="10"/>
      <c r="O205" s="57"/>
    </row>
    <row r="206" ht="22.5" customHeight="1">
      <c r="A206" s="217"/>
      <c r="F206" s="10"/>
      <c r="G206" s="6" t="s">
        <v>1077</v>
      </c>
      <c r="H206" s="8" t="s">
        <v>1078</v>
      </c>
      <c r="I206" s="10"/>
      <c r="J206" s="10"/>
      <c r="O206" s="57"/>
    </row>
    <row r="207" ht="22.5" customHeight="1">
      <c r="A207" s="218"/>
      <c r="F207" s="10"/>
      <c r="G207" s="6" t="s">
        <v>1079</v>
      </c>
      <c r="H207" s="8" t="s">
        <v>1080</v>
      </c>
      <c r="I207" s="10"/>
      <c r="J207" s="10"/>
      <c r="O207" s="57"/>
    </row>
    <row r="208" ht="22.5" customHeight="1">
      <c r="A208" s="219"/>
      <c r="F208" s="10"/>
      <c r="G208" s="6" t="s">
        <v>1081</v>
      </c>
      <c r="H208" s="8" t="s">
        <v>1082</v>
      </c>
      <c r="I208" s="8" t="s">
        <v>1083</v>
      </c>
      <c r="J208" s="8" t="s">
        <v>1084</v>
      </c>
      <c r="O208" s="57"/>
    </row>
    <row r="209" ht="22.5" customHeight="1">
      <c r="A209" s="220"/>
      <c r="F209" s="10"/>
      <c r="G209" s="6" t="s">
        <v>1085</v>
      </c>
      <c r="H209" s="8" t="s">
        <v>1086</v>
      </c>
      <c r="I209" s="10"/>
      <c r="J209" s="10"/>
      <c r="O209" s="57"/>
    </row>
    <row r="210" ht="22.5" customHeight="1">
      <c r="A210" s="221"/>
      <c r="F210" s="10"/>
      <c r="G210" s="6" t="s">
        <v>1087</v>
      </c>
      <c r="H210" s="8" t="s">
        <v>1088</v>
      </c>
      <c r="I210" s="10"/>
      <c r="J210" s="10"/>
      <c r="O210" s="57"/>
    </row>
    <row r="211" ht="22.5" customHeight="1">
      <c r="A211" s="222"/>
      <c r="F211" s="10"/>
      <c r="G211" s="6" t="s">
        <v>1089</v>
      </c>
      <c r="H211" s="8" t="s">
        <v>1090</v>
      </c>
      <c r="I211" s="10"/>
      <c r="J211" s="10"/>
      <c r="O211" s="57"/>
    </row>
    <row r="212" ht="22.5" customHeight="1">
      <c r="A212" s="223"/>
      <c r="F212" s="10"/>
      <c r="G212" s="6" t="s">
        <v>1091</v>
      </c>
      <c r="H212" s="8" t="s">
        <v>1092</v>
      </c>
      <c r="I212" s="10"/>
      <c r="J212" s="10"/>
      <c r="O212" s="57"/>
    </row>
    <row r="213" ht="22.5" customHeight="1">
      <c r="A213" s="224"/>
      <c r="F213" s="10"/>
      <c r="G213" s="6" t="s">
        <v>1093</v>
      </c>
      <c r="H213" s="8" t="s">
        <v>1094</v>
      </c>
      <c r="I213" s="10"/>
      <c r="J213" s="10"/>
      <c r="O213" s="57"/>
    </row>
    <row r="214" ht="22.5" customHeight="1">
      <c r="A214" s="225"/>
      <c r="F214" s="10"/>
      <c r="G214" s="6" t="s">
        <v>1095</v>
      </c>
      <c r="H214" s="8" t="s">
        <v>1096</v>
      </c>
      <c r="I214" s="8" t="s">
        <v>1097</v>
      </c>
      <c r="J214" s="8" t="s">
        <v>1098</v>
      </c>
      <c r="O214" s="57"/>
    </row>
    <row r="215" ht="22.5" customHeight="1">
      <c r="A215" s="226"/>
      <c r="F215" s="10"/>
      <c r="G215" s="6" t="s">
        <v>1099</v>
      </c>
      <c r="H215" s="8" t="s">
        <v>1100</v>
      </c>
      <c r="I215" s="10"/>
      <c r="J215" s="10"/>
      <c r="O215" s="57"/>
    </row>
    <row r="216" ht="22.5" customHeight="1">
      <c r="A216" s="227"/>
      <c r="F216" s="10"/>
      <c r="G216" s="6" t="s">
        <v>1101</v>
      </c>
      <c r="H216" s="8" t="s">
        <v>1102</v>
      </c>
      <c r="I216" s="10"/>
      <c r="J216" s="10"/>
      <c r="O216" s="57"/>
    </row>
    <row r="217" ht="22.5" customHeight="1">
      <c r="A217" s="228"/>
      <c r="F217" s="10"/>
      <c r="G217" s="6" t="s">
        <v>1103</v>
      </c>
      <c r="H217" s="8" t="s">
        <v>1104</v>
      </c>
      <c r="I217" s="10"/>
      <c r="J217" s="10"/>
      <c r="O217" s="57"/>
    </row>
    <row r="218" ht="22.5" customHeight="1">
      <c r="A218" s="184"/>
      <c r="F218" s="10"/>
      <c r="H218" s="10"/>
      <c r="I218" s="8" t="s">
        <v>1105</v>
      </c>
      <c r="J218" s="8" t="s">
        <v>998</v>
      </c>
      <c r="O218" s="57"/>
    </row>
    <row r="219" ht="22.5" customHeight="1">
      <c r="A219" s="229"/>
      <c r="F219" s="10"/>
      <c r="H219" s="10"/>
      <c r="I219" s="8" t="s">
        <v>1106</v>
      </c>
      <c r="J219" s="8" t="s">
        <v>1107</v>
      </c>
      <c r="O219" s="57"/>
    </row>
    <row r="220" ht="22.5" customHeight="1">
      <c r="A220" s="230"/>
      <c r="F220" s="10"/>
      <c r="H220" s="10"/>
      <c r="I220" s="8" t="s">
        <v>1108</v>
      </c>
      <c r="J220" s="8" t="s">
        <v>1109</v>
      </c>
      <c r="O220" s="57"/>
    </row>
    <row r="221" ht="22.5" customHeight="1">
      <c r="A221" s="231"/>
      <c r="F221" s="10"/>
      <c r="H221" s="10"/>
      <c r="I221" s="8" t="s">
        <v>1110</v>
      </c>
      <c r="J221" s="8" t="s">
        <v>1111</v>
      </c>
      <c r="O221" s="57"/>
    </row>
    <row r="222" ht="22.5" customHeight="1">
      <c r="A222" s="232"/>
      <c r="F222" s="10"/>
      <c r="H222" s="10"/>
      <c r="I222" s="8" t="s">
        <v>1112</v>
      </c>
      <c r="J222" s="8" t="s">
        <v>1113</v>
      </c>
      <c r="O222" s="57"/>
    </row>
    <row r="223" ht="22.5" customHeight="1">
      <c r="A223" s="233"/>
      <c r="F223" s="10"/>
      <c r="H223" s="10"/>
      <c r="I223" s="8" t="s">
        <v>1114</v>
      </c>
      <c r="J223" s="8" t="s">
        <v>1115</v>
      </c>
      <c r="O223" s="57"/>
    </row>
    <row r="224" ht="22.5" customHeight="1">
      <c r="A224" s="234"/>
      <c r="F224" s="10"/>
      <c r="H224" s="10"/>
      <c r="I224" s="8" t="s">
        <v>1116</v>
      </c>
      <c r="J224" s="8" t="s">
        <v>1117</v>
      </c>
      <c r="O224" s="57"/>
    </row>
    <row r="225" ht="22.5" customHeight="1">
      <c r="A225" s="235"/>
      <c r="F225" s="10"/>
      <c r="H225" s="10"/>
      <c r="I225" s="8" t="s">
        <v>1118</v>
      </c>
      <c r="J225" s="8" t="s">
        <v>1119</v>
      </c>
      <c r="O225" s="57"/>
    </row>
    <row r="226" ht="22.5" customHeight="1">
      <c r="A226" s="236"/>
      <c r="F226" s="10"/>
      <c r="H226" s="10"/>
      <c r="I226" s="8" t="s">
        <v>1120</v>
      </c>
      <c r="J226" s="8" t="s">
        <v>1121</v>
      </c>
      <c r="O226" s="57"/>
    </row>
    <row r="227" ht="22.5" customHeight="1">
      <c r="A227" s="237"/>
      <c r="F227" s="10"/>
      <c r="H227" s="10"/>
      <c r="I227" s="8" t="s">
        <v>1122</v>
      </c>
      <c r="J227" s="8" t="s">
        <v>1123</v>
      </c>
      <c r="O227" s="57"/>
    </row>
    <row r="228" ht="22.5" customHeight="1">
      <c r="A228" s="238"/>
      <c r="F228" s="10"/>
      <c r="H228" s="10"/>
      <c r="I228" s="8" t="s">
        <v>1124</v>
      </c>
      <c r="J228" s="8" t="s">
        <v>1125</v>
      </c>
      <c r="O228" s="57"/>
    </row>
    <row r="229" ht="22.5" customHeight="1">
      <c r="A229" s="239"/>
      <c r="F229" s="10"/>
      <c r="H229" s="10"/>
      <c r="I229" s="6" t="s">
        <v>1126</v>
      </c>
      <c r="J229" s="8" t="s">
        <v>1127</v>
      </c>
      <c r="O229" s="57"/>
    </row>
    <row r="230" ht="22.5" customHeight="1">
      <c r="A230" s="240"/>
      <c r="F230" s="10"/>
      <c r="H230" s="10"/>
      <c r="I230" s="8" t="s">
        <v>1128</v>
      </c>
      <c r="J230" s="8" t="s">
        <v>1129</v>
      </c>
      <c r="O230" s="57"/>
    </row>
    <row r="231" ht="22.5" customHeight="1">
      <c r="A231" s="241"/>
      <c r="F231" s="10"/>
      <c r="H231" s="10"/>
      <c r="I231" s="8" t="s">
        <v>1130</v>
      </c>
      <c r="J231" s="8" t="s">
        <v>1131</v>
      </c>
      <c r="O231" s="57"/>
    </row>
    <row r="232" ht="22.5" customHeight="1">
      <c r="A232" s="242"/>
      <c r="F232" s="10"/>
      <c r="H232" s="10"/>
      <c r="I232" s="8" t="s">
        <v>1132</v>
      </c>
      <c r="J232" s="8" t="s">
        <v>1133</v>
      </c>
      <c r="O232" s="57"/>
    </row>
    <row r="233" ht="22.5" customHeight="1">
      <c r="A233" s="243"/>
      <c r="F233" s="10"/>
      <c r="H233" s="10"/>
      <c r="I233" s="8" t="s">
        <v>1134</v>
      </c>
      <c r="J233" s="8" t="s">
        <v>1135</v>
      </c>
      <c r="O233" s="57"/>
    </row>
    <row r="234" ht="22.5" customHeight="1">
      <c r="A234" s="244"/>
      <c r="F234" s="10"/>
      <c r="H234" s="10"/>
      <c r="I234" s="8" t="s">
        <v>1136</v>
      </c>
      <c r="J234" s="8" t="s">
        <v>1137</v>
      </c>
      <c r="O234" s="57"/>
    </row>
    <row r="235" ht="22.5" customHeight="1">
      <c r="A235" s="245"/>
      <c r="F235" s="10"/>
      <c r="H235" s="10"/>
      <c r="I235" s="8" t="s">
        <v>1138</v>
      </c>
      <c r="J235" s="8" t="s">
        <v>1139</v>
      </c>
      <c r="O235" s="57"/>
    </row>
    <row r="236" ht="22.5" customHeight="1">
      <c r="A236" s="246"/>
      <c r="F236" s="10"/>
      <c r="H236" s="10"/>
      <c r="I236" s="8" t="s">
        <v>1140</v>
      </c>
      <c r="J236" s="8" t="s">
        <v>1141</v>
      </c>
      <c r="O236" s="57"/>
    </row>
    <row r="237" ht="22.5" customHeight="1">
      <c r="A237" s="247"/>
      <c r="F237" s="10"/>
      <c r="H237" s="10"/>
      <c r="I237" s="8" t="s">
        <v>1142</v>
      </c>
      <c r="J237" s="8" t="s">
        <v>1143</v>
      </c>
      <c r="O237" s="57"/>
    </row>
    <row r="238" ht="22.5" customHeight="1">
      <c r="A238" s="248"/>
      <c r="F238" s="10"/>
      <c r="H238" s="10"/>
      <c r="I238" s="8" t="s">
        <v>1144</v>
      </c>
      <c r="J238" s="8" t="s">
        <v>1145</v>
      </c>
      <c r="O238" s="57"/>
    </row>
    <row r="239" ht="22.5" customHeight="1">
      <c r="A239" s="249"/>
      <c r="F239" s="10"/>
      <c r="H239" s="10"/>
      <c r="I239" s="8" t="s">
        <v>1146</v>
      </c>
      <c r="J239" s="8" t="s">
        <v>1147</v>
      </c>
      <c r="O239" s="57"/>
    </row>
    <row r="240" ht="22.5" customHeight="1">
      <c r="A240" s="250"/>
      <c r="F240" s="10"/>
      <c r="H240" s="10"/>
      <c r="I240" s="8" t="s">
        <v>1148</v>
      </c>
      <c r="J240" s="8" t="s">
        <v>1149</v>
      </c>
      <c r="O240" s="57"/>
    </row>
    <row r="241" ht="22.5" customHeight="1">
      <c r="A241" s="251"/>
      <c r="F241" s="10"/>
      <c r="H241" s="10"/>
      <c r="I241" s="8" t="s">
        <v>1150</v>
      </c>
      <c r="J241" s="8" t="s">
        <v>1151</v>
      </c>
      <c r="O241" s="57"/>
    </row>
    <row r="242" ht="22.5" customHeight="1">
      <c r="A242" s="252"/>
      <c r="F242" s="10"/>
      <c r="H242" s="10"/>
      <c r="I242" s="8" t="s">
        <v>1152</v>
      </c>
      <c r="J242" s="8" t="s">
        <v>1153</v>
      </c>
      <c r="O242" s="57"/>
    </row>
    <row r="243" ht="22.5" customHeight="1">
      <c r="A243" s="253"/>
      <c r="F243" s="10"/>
      <c r="H243" s="10"/>
      <c r="I243" s="8" t="s">
        <v>1154</v>
      </c>
      <c r="J243" s="8" t="s">
        <v>1155</v>
      </c>
      <c r="O243" s="57"/>
    </row>
    <row r="244" ht="22.5" customHeight="1">
      <c r="A244" s="254"/>
      <c r="F244" s="10"/>
      <c r="H244" s="10"/>
      <c r="I244" s="8" t="s">
        <v>1156</v>
      </c>
      <c r="J244" s="8" t="s">
        <v>1157</v>
      </c>
      <c r="O244" s="57"/>
    </row>
    <row r="245" ht="22.5" customHeight="1">
      <c r="A245" s="255"/>
      <c r="F245" s="10"/>
      <c r="H245" s="10"/>
      <c r="I245" s="8" t="s">
        <v>1158</v>
      </c>
      <c r="J245" s="8" t="s">
        <v>1159</v>
      </c>
      <c r="O245" s="57"/>
    </row>
    <row r="246" ht="22.5" customHeight="1">
      <c r="A246" s="256"/>
      <c r="F246" s="10"/>
      <c r="H246" s="10"/>
      <c r="I246" s="8" t="s">
        <v>1160</v>
      </c>
      <c r="J246" s="8" t="s">
        <v>1161</v>
      </c>
      <c r="O246" s="57"/>
    </row>
    <row r="247" ht="22.5" customHeight="1">
      <c r="A247" s="257"/>
      <c r="F247" s="10"/>
      <c r="H247" s="10"/>
      <c r="I247" s="8" t="s">
        <v>1162</v>
      </c>
      <c r="J247" s="8" t="s">
        <v>1163</v>
      </c>
      <c r="O247" s="57"/>
    </row>
    <row r="248" ht="22.5" customHeight="1">
      <c r="A248" s="258"/>
      <c r="F248" s="10"/>
      <c r="H248" s="10"/>
      <c r="I248" s="8" t="s">
        <v>1164</v>
      </c>
      <c r="J248" s="8" t="s">
        <v>1165</v>
      </c>
      <c r="O248" s="57"/>
    </row>
    <row r="249" ht="22.5" customHeight="1">
      <c r="A249" s="259"/>
      <c r="F249" s="10"/>
      <c r="H249" s="10"/>
      <c r="I249" s="8" t="s">
        <v>1166</v>
      </c>
      <c r="J249" s="8" t="s">
        <v>1167</v>
      </c>
      <c r="O249" s="57"/>
    </row>
    <row r="250" ht="22.5" customHeight="1">
      <c r="A250" s="260"/>
      <c r="F250" s="10"/>
      <c r="H250" s="10"/>
      <c r="I250" s="8" t="s">
        <v>1168</v>
      </c>
      <c r="J250" s="8" t="s">
        <v>1169</v>
      </c>
      <c r="O250" s="57"/>
    </row>
    <row r="251" ht="22.5" customHeight="1">
      <c r="A251" s="261"/>
      <c r="F251" s="10"/>
      <c r="H251" s="10"/>
      <c r="I251" s="8" t="s">
        <v>1170</v>
      </c>
      <c r="J251" s="8" t="s">
        <v>1171</v>
      </c>
      <c r="O251" s="57"/>
    </row>
    <row r="252" ht="22.5" customHeight="1">
      <c r="A252" s="262"/>
      <c r="F252" s="10"/>
      <c r="H252" s="10"/>
      <c r="I252" s="8" t="s">
        <v>1172</v>
      </c>
      <c r="J252" s="8" t="s">
        <v>1173</v>
      </c>
      <c r="O252" s="57"/>
    </row>
    <row r="253" ht="22.5" customHeight="1">
      <c r="A253" s="263"/>
      <c r="F253" s="10"/>
      <c r="H253" s="10"/>
      <c r="I253" s="8" t="s">
        <v>1174</v>
      </c>
      <c r="J253" s="8" t="s">
        <v>1175</v>
      </c>
      <c r="O253" s="57"/>
    </row>
    <row r="254" ht="22.5" customHeight="1">
      <c r="A254" s="264"/>
      <c r="F254" s="10"/>
      <c r="H254" s="10"/>
      <c r="I254" s="8" t="s">
        <v>1176</v>
      </c>
      <c r="J254" s="8" t="s">
        <v>1177</v>
      </c>
      <c r="O254" s="57"/>
    </row>
    <row r="255" ht="22.5" customHeight="1">
      <c r="A255" s="265"/>
      <c r="F255" s="10"/>
      <c r="H255" s="158"/>
      <c r="I255" s="162" t="s">
        <v>1178</v>
      </c>
      <c r="J255" s="8" t="s">
        <v>1179</v>
      </c>
      <c r="O255" s="57"/>
    </row>
    <row r="256" ht="22.5" customHeight="1">
      <c r="A256" s="266"/>
      <c r="F256" s="10"/>
      <c r="H256" s="158"/>
      <c r="I256" s="162" t="s">
        <v>1180</v>
      </c>
      <c r="J256" s="8" t="s">
        <v>1181</v>
      </c>
      <c r="O256" s="57"/>
    </row>
    <row r="257" ht="22.5" customHeight="1">
      <c r="A257" s="267"/>
      <c r="F257" s="10"/>
      <c r="H257" s="158"/>
      <c r="I257" s="162" t="s">
        <v>1182</v>
      </c>
      <c r="J257" s="8" t="s">
        <v>1183</v>
      </c>
      <c r="O257" s="57"/>
    </row>
    <row r="258" ht="22.5" customHeight="1">
      <c r="A258" s="268"/>
      <c r="F258" s="10"/>
      <c r="H258" s="158"/>
      <c r="I258" s="162" t="s">
        <v>1184</v>
      </c>
      <c r="J258" s="8" t="s">
        <v>1185</v>
      </c>
      <c r="O258" s="57"/>
    </row>
    <row r="259" ht="22.5" customHeight="1">
      <c r="A259" s="269"/>
      <c r="F259" s="10"/>
      <c r="H259" s="10"/>
      <c r="I259" s="8" t="s">
        <v>1186</v>
      </c>
      <c r="J259" s="8" t="s">
        <v>1187</v>
      </c>
      <c r="O259" s="57"/>
    </row>
    <row r="260" ht="22.5" customHeight="1">
      <c r="A260" s="270"/>
      <c r="F260" s="10"/>
      <c r="H260" s="10"/>
      <c r="I260" s="8" t="s">
        <v>1188</v>
      </c>
      <c r="J260" s="8" t="s">
        <v>1189</v>
      </c>
      <c r="O260" s="57"/>
    </row>
    <row r="261" ht="22.5" customHeight="1">
      <c r="A261" s="271"/>
      <c r="F261" s="10"/>
      <c r="H261" s="10"/>
      <c r="I261" s="8" t="s">
        <v>1190</v>
      </c>
      <c r="J261" s="8" t="s">
        <v>1191</v>
      </c>
      <c r="O261" s="57"/>
    </row>
    <row r="262" ht="22.5" customHeight="1">
      <c r="A262" s="272"/>
      <c r="F262" s="10"/>
      <c r="H262" s="10"/>
      <c r="I262" s="8" t="s">
        <v>1192</v>
      </c>
      <c r="J262" s="8" t="s">
        <v>1193</v>
      </c>
      <c r="O262" s="57"/>
    </row>
    <row r="263" ht="22.5" customHeight="1">
      <c r="A263" s="273"/>
      <c r="F263" s="10"/>
      <c r="H263" s="10"/>
      <c r="I263" s="8" t="s">
        <v>1194</v>
      </c>
      <c r="J263" s="8" t="s">
        <v>1195</v>
      </c>
      <c r="O263" s="57"/>
    </row>
    <row r="264" ht="22.5" customHeight="1">
      <c r="A264" s="274"/>
      <c r="F264" s="10"/>
      <c r="H264" s="10"/>
      <c r="I264" s="8" t="s">
        <v>1196</v>
      </c>
      <c r="J264" s="8" t="s">
        <v>1197</v>
      </c>
      <c r="O264" s="57"/>
    </row>
    <row r="265" ht="22.5" customHeight="1">
      <c r="A265" s="275"/>
      <c r="F265" s="10"/>
      <c r="H265" s="10"/>
      <c r="I265" s="8" t="s">
        <v>1198</v>
      </c>
      <c r="J265" s="8" t="s">
        <v>1199</v>
      </c>
      <c r="O265" s="57"/>
    </row>
    <row r="266" ht="22.5" customHeight="1">
      <c r="A266" s="276"/>
      <c r="F266" s="10"/>
      <c r="H266" s="10"/>
      <c r="I266" s="8" t="s">
        <v>1200</v>
      </c>
      <c r="J266" s="8" t="s">
        <v>1201</v>
      </c>
      <c r="O266" s="57"/>
    </row>
    <row r="267" ht="22.5" customHeight="1">
      <c r="A267" s="277"/>
      <c r="F267" s="10"/>
      <c r="H267" s="10"/>
      <c r="I267" s="8" t="s">
        <v>1202</v>
      </c>
      <c r="J267" s="8" t="s">
        <v>1203</v>
      </c>
      <c r="O267" s="57"/>
    </row>
    <row r="268" ht="22.5" customHeight="1">
      <c r="A268" s="278"/>
      <c r="F268" s="10"/>
      <c r="H268" s="10"/>
      <c r="I268" s="8" t="s">
        <v>1204</v>
      </c>
      <c r="J268" s="8" t="s">
        <v>1205</v>
      </c>
      <c r="O268" s="57"/>
    </row>
    <row r="269" ht="22.5" customHeight="1">
      <c r="A269" s="279"/>
      <c r="F269" s="10"/>
      <c r="H269" s="10"/>
      <c r="I269" s="8" t="s">
        <v>1206</v>
      </c>
      <c r="J269" s="8" t="s">
        <v>1207</v>
      </c>
      <c r="O269" s="9" t="s">
        <v>1208</v>
      </c>
    </row>
    <row r="270" ht="22.5" customHeight="1">
      <c r="A270" s="280"/>
      <c r="F270" s="10"/>
      <c r="H270" s="10"/>
      <c r="I270" s="8" t="s">
        <v>1209</v>
      </c>
      <c r="J270" s="8" t="s">
        <v>1210</v>
      </c>
      <c r="O270" s="9" t="s">
        <v>1211</v>
      </c>
    </row>
    <row r="271" ht="22.5" customHeight="1">
      <c r="A271" s="281"/>
      <c r="F271" s="10"/>
      <c r="H271" s="10"/>
      <c r="I271" s="8" t="s">
        <v>1212</v>
      </c>
      <c r="J271" s="8" t="s">
        <v>1213</v>
      </c>
      <c r="O271" s="57"/>
    </row>
    <row r="272" ht="22.5" customHeight="1">
      <c r="A272" s="282" t="s">
        <v>14</v>
      </c>
      <c r="B272" s="6" t="s">
        <v>28</v>
      </c>
      <c r="C272" s="6" t="s">
        <v>1214</v>
      </c>
      <c r="D272" s="6" t="s">
        <v>28</v>
      </c>
      <c r="F272" s="10"/>
      <c r="G272" s="6" t="s">
        <v>28</v>
      </c>
      <c r="H272" s="10"/>
      <c r="I272" s="10"/>
      <c r="J272" s="10"/>
      <c r="K272" s="6" t="s">
        <v>28</v>
      </c>
      <c r="L272" s="6" t="s">
        <v>28</v>
      </c>
      <c r="M272" s="6" t="s">
        <v>28</v>
      </c>
      <c r="N272" s="6" t="s">
        <v>1215</v>
      </c>
      <c r="O272" s="9" t="s">
        <v>1216</v>
      </c>
    </row>
    <row r="273" ht="22.5" customHeight="1">
      <c r="A273" s="81" t="s">
        <v>14</v>
      </c>
      <c r="B273" s="6" t="s">
        <v>28</v>
      </c>
      <c r="C273" s="6" t="s">
        <v>1217</v>
      </c>
      <c r="D273" s="6" t="s">
        <v>28</v>
      </c>
      <c r="F273" s="10"/>
      <c r="G273" s="6" t="s">
        <v>28</v>
      </c>
      <c r="H273" s="10"/>
      <c r="I273" s="10"/>
      <c r="J273" s="10"/>
      <c r="K273" s="6" t="s">
        <v>28</v>
      </c>
      <c r="L273" s="6" t="s">
        <v>28</v>
      </c>
      <c r="M273" s="6" t="s">
        <v>28</v>
      </c>
      <c r="N273" s="6" t="s">
        <v>28</v>
      </c>
      <c r="O273" s="9" t="s">
        <v>1218</v>
      </c>
    </row>
    <row r="274" ht="22.5" customHeight="1">
      <c r="A274" s="283" t="s">
        <v>14</v>
      </c>
      <c r="B274" s="6" t="s">
        <v>468</v>
      </c>
      <c r="C274" s="6" t="s">
        <v>1219</v>
      </c>
      <c r="D274" s="6" t="s">
        <v>28</v>
      </c>
      <c r="F274" s="10"/>
      <c r="G274" s="6" t="s">
        <v>28</v>
      </c>
      <c r="H274" s="10"/>
      <c r="I274" s="10"/>
      <c r="J274" s="10"/>
      <c r="K274" s="6" t="s">
        <v>28</v>
      </c>
      <c r="L274" s="6" t="s">
        <v>28</v>
      </c>
      <c r="M274" s="6" t="s">
        <v>28</v>
      </c>
      <c r="N274" s="6" t="s">
        <v>28</v>
      </c>
      <c r="O274" s="9" t="s">
        <v>1220</v>
      </c>
    </row>
    <row r="275" ht="22.5" customHeight="1">
      <c r="A275" s="106" t="s">
        <v>14</v>
      </c>
      <c r="B275" s="6" t="s">
        <v>199</v>
      </c>
      <c r="C275" s="6" t="s">
        <v>1221</v>
      </c>
      <c r="D275" s="6" t="s">
        <v>28</v>
      </c>
      <c r="F275" s="10"/>
      <c r="G275" s="6" t="s">
        <v>28</v>
      </c>
      <c r="H275" s="10"/>
      <c r="I275" s="10"/>
      <c r="J275" s="10"/>
      <c r="K275" s="6" t="s">
        <v>28</v>
      </c>
      <c r="L275" s="6" t="s">
        <v>28</v>
      </c>
      <c r="M275" s="6" t="s">
        <v>28</v>
      </c>
      <c r="N275" s="6" t="s">
        <v>28</v>
      </c>
      <c r="O275" s="9" t="s">
        <v>814</v>
      </c>
    </row>
    <row r="276">
      <c r="F276" s="10"/>
      <c r="H276" s="10"/>
      <c r="I276" s="10"/>
      <c r="J276" s="10"/>
      <c r="O276" s="57"/>
    </row>
    <row r="277">
      <c r="A277" s="284"/>
      <c r="F277" s="10"/>
      <c r="H277" s="10"/>
      <c r="I277" s="10"/>
      <c r="J277" s="10"/>
      <c r="O277" s="57"/>
    </row>
    <row r="278">
      <c r="F278" s="10"/>
      <c r="H278" s="10"/>
      <c r="I278" s="10"/>
      <c r="J278" s="10"/>
      <c r="O278" s="57"/>
    </row>
    <row r="279">
      <c r="F279" s="10"/>
      <c r="H279" s="10"/>
      <c r="I279" s="10"/>
      <c r="J279" s="10"/>
      <c r="O279" s="57"/>
    </row>
    <row r="280">
      <c r="A280" s="6" t="s">
        <v>1222</v>
      </c>
      <c r="F280" s="10"/>
      <c r="H280" s="10"/>
      <c r="I280" s="10"/>
      <c r="J280" s="10"/>
      <c r="O280" s="57"/>
    </row>
    <row r="281">
      <c r="A281" s="285" t="s">
        <v>1223</v>
      </c>
      <c r="O281" s="57"/>
    </row>
    <row r="282">
      <c r="F282" s="10"/>
      <c r="H282" s="10"/>
      <c r="I282" s="10"/>
      <c r="J282" s="10"/>
      <c r="O282" s="57"/>
    </row>
    <row r="283">
      <c r="F283" s="10"/>
      <c r="H283" s="10"/>
      <c r="I283" s="10"/>
      <c r="J283" s="10"/>
      <c r="O283" s="57"/>
    </row>
    <row r="284">
      <c r="F284" s="10"/>
      <c r="H284" s="10"/>
      <c r="I284" s="10"/>
      <c r="J284" s="10"/>
      <c r="O284" s="57"/>
    </row>
    <row r="285">
      <c r="F285" s="10"/>
      <c r="H285" s="10"/>
      <c r="I285" s="10"/>
      <c r="J285" s="10"/>
      <c r="O285" s="57"/>
    </row>
    <row r="286">
      <c r="F286" s="10"/>
      <c r="H286" s="10"/>
      <c r="I286" s="10"/>
      <c r="J286" s="10"/>
      <c r="O286" s="57"/>
    </row>
    <row r="287">
      <c r="F287" s="10"/>
      <c r="H287" s="10"/>
      <c r="I287" s="10"/>
      <c r="J287" s="10"/>
      <c r="O287" s="57"/>
    </row>
  </sheetData>
  <autoFilter ref="$A$1:$O$275"/>
  <mergeCells count="1">
    <mergeCell ref="A281:J281"/>
  </mergeCells>
  <hyperlinks>
    <hyperlink r:id="rId1" ref="A28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75"/>
    <col customWidth="1" min="2" max="4" width="15.13"/>
    <col customWidth="1" hidden="1" min="5" max="5" width="15.13"/>
    <col customWidth="1" min="6" max="6" width="9.75"/>
    <col customWidth="1" min="7" max="7" width="15.13"/>
    <col customWidth="1" min="8" max="8" width="8.38"/>
    <col customWidth="1" min="9" max="9" width="15.13"/>
    <col customWidth="1" min="10" max="10" width="7.5"/>
    <col customWidth="1" min="11" max="12" width="15.13"/>
    <col customWidth="1" min="13" max="13" width="12.25"/>
    <col customWidth="1" min="14" max="2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1" t="s">
        <v>9</v>
      </c>
      <c r="L1" s="1" t="s">
        <v>10</v>
      </c>
      <c r="M1" s="4" t="s">
        <v>11</v>
      </c>
      <c r="N1" s="1" t="s">
        <v>12</v>
      </c>
      <c r="O1" s="5" t="s">
        <v>13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6" t="s">
        <v>14</v>
      </c>
      <c r="B2" s="6" t="s">
        <v>15</v>
      </c>
      <c r="C2" s="6" t="s">
        <v>16</v>
      </c>
      <c r="D2" s="6" t="s">
        <v>17</v>
      </c>
      <c r="E2" s="7" t="str">
        <f>IFERROR(__xludf.DUMMYFUNCTION("""72."" &amp;+ REGEXEXTRACT(D2, ""\((\d*)\)"")"),"72.001")</f>
        <v>72.001</v>
      </c>
      <c r="F2" s="8" t="s">
        <v>18</v>
      </c>
      <c r="G2" s="6" t="s">
        <v>19</v>
      </c>
      <c r="H2" s="8" t="s">
        <v>20</v>
      </c>
      <c r="I2" s="8" t="s">
        <v>21</v>
      </c>
      <c r="J2" s="8" t="s">
        <v>22</v>
      </c>
      <c r="K2" s="6" t="s">
        <v>23</v>
      </c>
      <c r="L2" s="6" t="s">
        <v>24</v>
      </c>
      <c r="M2" s="162" t="s">
        <v>25</v>
      </c>
      <c r="N2" s="6" t="s">
        <v>26</v>
      </c>
      <c r="O2" s="9" t="s">
        <v>27</v>
      </c>
    </row>
    <row r="3" ht="22.5" customHeight="1">
      <c r="A3" s="6" t="s">
        <v>14</v>
      </c>
      <c r="B3" s="6" t="s">
        <v>28</v>
      </c>
      <c r="C3" s="6" t="s">
        <v>29</v>
      </c>
      <c r="D3" s="6" t="s">
        <v>30</v>
      </c>
      <c r="E3" s="7" t="str">
        <f>IFERROR(__xludf.DUMMYFUNCTION("""72."" &amp;+ REGEXEXTRACT(D3, ""\((\d*)\)"")"),"72.002")</f>
        <v>72.002</v>
      </c>
      <c r="F3" s="8" t="s">
        <v>31</v>
      </c>
      <c r="G3" s="6" t="s">
        <v>32</v>
      </c>
      <c r="H3" s="8" t="s">
        <v>33</v>
      </c>
      <c r="I3" s="10"/>
      <c r="J3" s="10"/>
      <c r="K3" s="6" t="s">
        <v>28</v>
      </c>
      <c r="L3" s="6" t="s">
        <v>34</v>
      </c>
      <c r="M3" s="162" t="s">
        <v>28</v>
      </c>
      <c r="N3" s="6" t="s">
        <v>35</v>
      </c>
      <c r="O3" s="9" t="s">
        <v>27</v>
      </c>
    </row>
    <row r="4" ht="22.5" customHeight="1">
      <c r="A4" s="11" t="s">
        <v>14</v>
      </c>
      <c r="B4" s="6" t="s">
        <v>28</v>
      </c>
      <c r="C4" s="6" t="s">
        <v>36</v>
      </c>
      <c r="D4" s="6" t="s">
        <v>37</v>
      </c>
      <c r="E4" s="7" t="str">
        <f>IFERROR(__xludf.DUMMYFUNCTION("""72."" &amp;+ REGEXEXTRACT(D4, ""\((\d*)\)"")"),"72.003")</f>
        <v>72.003</v>
      </c>
      <c r="F4" s="8" t="s">
        <v>38</v>
      </c>
      <c r="G4" s="6" t="s">
        <v>39</v>
      </c>
      <c r="H4" s="8" t="s">
        <v>40</v>
      </c>
      <c r="I4" s="10"/>
      <c r="J4" s="10"/>
      <c r="K4" s="6" t="s">
        <v>41</v>
      </c>
      <c r="L4" s="6" t="s">
        <v>42</v>
      </c>
      <c r="M4" s="162" t="s">
        <v>28</v>
      </c>
      <c r="N4" s="6" t="s">
        <v>43</v>
      </c>
      <c r="O4" s="9" t="s">
        <v>44</v>
      </c>
    </row>
    <row r="5" ht="22.5" customHeight="1">
      <c r="A5" s="12" t="s">
        <v>14</v>
      </c>
      <c r="B5" s="6" t="s">
        <v>45</v>
      </c>
      <c r="C5" s="6" t="s">
        <v>46</v>
      </c>
      <c r="D5" s="6" t="s">
        <v>47</v>
      </c>
      <c r="E5" s="7" t="str">
        <f>IFERROR(__xludf.DUMMYFUNCTION("""72."" &amp;+ REGEXEXTRACT(D5, ""\((\d*)\)"")"),"72.004")</f>
        <v>72.004</v>
      </c>
      <c r="F5" s="8" t="s">
        <v>48</v>
      </c>
      <c r="G5" s="6" t="s">
        <v>49</v>
      </c>
      <c r="H5" s="8" t="s">
        <v>50</v>
      </c>
      <c r="I5" s="10"/>
      <c r="J5" s="10"/>
      <c r="K5" s="6" t="s">
        <v>51</v>
      </c>
      <c r="L5" s="6" t="s">
        <v>52</v>
      </c>
      <c r="M5" s="162" t="s">
        <v>28</v>
      </c>
      <c r="N5" s="6" t="s">
        <v>53</v>
      </c>
      <c r="O5" s="9" t="s">
        <v>54</v>
      </c>
    </row>
    <row r="6" ht="22.5" customHeight="1">
      <c r="A6" s="13" t="s">
        <v>14</v>
      </c>
      <c r="B6" s="6" t="s">
        <v>28</v>
      </c>
      <c r="C6" s="6" t="s">
        <v>55</v>
      </c>
      <c r="D6" s="6" t="s">
        <v>56</v>
      </c>
      <c r="E6" s="7" t="str">
        <f>IFERROR(__xludf.DUMMYFUNCTION("""72."" &amp;+ REGEXEXTRACT(D6, ""\((\d*)\)"")"),"72.005")</f>
        <v>72.005</v>
      </c>
      <c r="F6" s="8" t="s">
        <v>57</v>
      </c>
      <c r="G6" s="6" t="s">
        <v>58</v>
      </c>
      <c r="H6" s="8" t="s">
        <v>59</v>
      </c>
      <c r="I6" s="10"/>
      <c r="J6" s="10"/>
      <c r="K6" s="6" t="s">
        <v>28</v>
      </c>
      <c r="L6" s="6" t="s">
        <v>60</v>
      </c>
      <c r="M6" s="162" t="s">
        <v>28</v>
      </c>
      <c r="N6" s="6" t="s">
        <v>61</v>
      </c>
      <c r="O6" s="9" t="s">
        <v>62</v>
      </c>
    </row>
    <row r="7" ht="22.5" customHeight="1">
      <c r="A7" s="14"/>
      <c r="B7" s="6" t="s">
        <v>63</v>
      </c>
      <c r="C7" s="6" t="s">
        <v>64</v>
      </c>
      <c r="D7" s="6" t="s">
        <v>65</v>
      </c>
      <c r="E7" s="7" t="str">
        <f>IFERROR(__xludf.DUMMYFUNCTION("""72."" &amp;+ REGEXEXTRACT(D7, ""\((\d*)\)"")"),"72.006")</f>
        <v>72.006</v>
      </c>
      <c r="F7" s="8" t="s">
        <v>66</v>
      </c>
      <c r="G7" s="6" t="s">
        <v>67</v>
      </c>
      <c r="H7" s="8" t="s">
        <v>68</v>
      </c>
      <c r="I7" s="8" t="s">
        <v>69</v>
      </c>
      <c r="J7" s="8" t="s">
        <v>70</v>
      </c>
      <c r="K7" s="6" t="s">
        <v>71</v>
      </c>
      <c r="L7" s="6" t="s">
        <v>72</v>
      </c>
      <c r="M7" s="162" t="s">
        <v>28</v>
      </c>
      <c r="N7" s="6" t="s">
        <v>73</v>
      </c>
      <c r="O7" s="9" t="s">
        <v>74</v>
      </c>
    </row>
    <row r="8" ht="22.5" customHeight="1">
      <c r="A8" s="15" t="s">
        <v>14</v>
      </c>
      <c r="B8" s="6" t="s">
        <v>75</v>
      </c>
      <c r="C8" s="6" t="s">
        <v>76</v>
      </c>
      <c r="D8" s="6" t="s">
        <v>77</v>
      </c>
      <c r="E8" s="7" t="str">
        <f>IFERROR(__xludf.DUMMYFUNCTION("""72."" &amp;+ REGEXEXTRACT(D8, ""\((\d*)\)"")"),"72.007")</f>
        <v>72.007</v>
      </c>
      <c r="F8" s="8" t="s">
        <v>78</v>
      </c>
      <c r="G8" s="6" t="s">
        <v>79</v>
      </c>
      <c r="H8" s="8" t="s">
        <v>80</v>
      </c>
      <c r="I8" s="10"/>
      <c r="J8" s="10"/>
      <c r="K8" s="6" t="s">
        <v>81</v>
      </c>
      <c r="L8" s="6" t="s">
        <v>82</v>
      </c>
      <c r="M8" s="162" t="s">
        <v>28</v>
      </c>
      <c r="N8" s="6" t="s">
        <v>83</v>
      </c>
      <c r="O8" s="9" t="s">
        <v>84</v>
      </c>
    </row>
    <row r="9" ht="22.5" customHeight="1">
      <c r="A9" s="16" t="s">
        <v>14</v>
      </c>
      <c r="B9" s="6" t="s">
        <v>28</v>
      </c>
      <c r="C9" s="6" t="s">
        <v>85</v>
      </c>
      <c r="D9" s="6" t="s">
        <v>86</v>
      </c>
      <c r="E9" s="7" t="str">
        <f>IFERROR(__xludf.DUMMYFUNCTION("""72."" &amp;+ REGEXEXTRACT(D9, ""\((\d*)\)"")"),"72.008")</f>
        <v>72.008</v>
      </c>
      <c r="F9" s="8" t="s">
        <v>87</v>
      </c>
      <c r="G9" s="6" t="s">
        <v>88</v>
      </c>
      <c r="H9" s="8" t="s">
        <v>89</v>
      </c>
      <c r="I9" s="10"/>
      <c r="J9" s="10"/>
      <c r="K9" s="6" t="s">
        <v>90</v>
      </c>
      <c r="L9" s="6" t="s">
        <v>91</v>
      </c>
      <c r="M9" s="162" t="s">
        <v>28</v>
      </c>
      <c r="N9" s="6" t="s">
        <v>92</v>
      </c>
      <c r="O9" s="9" t="s">
        <v>93</v>
      </c>
    </row>
    <row r="10" ht="22.5" customHeight="1">
      <c r="A10" s="17" t="s">
        <v>14</v>
      </c>
      <c r="B10" s="6" t="s">
        <v>94</v>
      </c>
      <c r="C10" s="6" t="s">
        <v>95</v>
      </c>
      <c r="D10" s="6" t="s">
        <v>96</v>
      </c>
      <c r="E10" s="7" t="str">
        <f>IFERROR(__xludf.DUMMYFUNCTION("""72."" &amp;+ REGEXEXTRACT(D10, ""\((\d*)\)"")"),"72.009")</f>
        <v>72.009</v>
      </c>
      <c r="F10" s="8" t="s">
        <v>97</v>
      </c>
      <c r="G10" s="6" t="s">
        <v>98</v>
      </c>
      <c r="H10" s="8" t="s">
        <v>99</v>
      </c>
      <c r="I10" s="8" t="s">
        <v>100</v>
      </c>
      <c r="J10" s="8" t="s">
        <v>101</v>
      </c>
      <c r="K10" s="6" t="s">
        <v>102</v>
      </c>
      <c r="L10" s="6" t="s">
        <v>103</v>
      </c>
      <c r="M10" s="162" t="s">
        <v>28</v>
      </c>
      <c r="N10" s="6" t="s">
        <v>104</v>
      </c>
      <c r="O10" s="9" t="s">
        <v>105</v>
      </c>
    </row>
    <row r="11" ht="22.5" customHeight="1">
      <c r="A11" s="18"/>
      <c r="B11" s="6" t="s">
        <v>106</v>
      </c>
      <c r="C11" s="6" t="s">
        <v>107</v>
      </c>
      <c r="D11" s="6" t="s">
        <v>108</v>
      </c>
      <c r="E11" s="7" t="str">
        <f>IFERROR(__xludf.DUMMYFUNCTION("""72."" &amp;+ REGEXEXTRACT(D11, ""\((\d*)\)"")"),"72.010")</f>
        <v>72.010</v>
      </c>
      <c r="F11" s="8" t="s">
        <v>109</v>
      </c>
      <c r="G11" s="6" t="s">
        <v>110</v>
      </c>
      <c r="H11" s="8" t="s">
        <v>111</v>
      </c>
      <c r="I11" s="10"/>
      <c r="J11" s="10"/>
      <c r="K11" s="6" t="s">
        <v>112</v>
      </c>
      <c r="L11" s="6" t="s">
        <v>113</v>
      </c>
      <c r="M11" s="162" t="s">
        <v>28</v>
      </c>
      <c r="N11" s="6" t="s">
        <v>114</v>
      </c>
      <c r="O11" s="9" t="s">
        <v>115</v>
      </c>
    </row>
    <row r="12" ht="22.5" customHeight="1">
      <c r="A12" s="19" t="s">
        <v>14</v>
      </c>
      <c r="B12" s="6" t="s">
        <v>116</v>
      </c>
      <c r="C12" s="6" t="s">
        <v>117</v>
      </c>
      <c r="D12" s="6" t="s">
        <v>118</v>
      </c>
      <c r="E12" s="7" t="str">
        <f>IFERROR(__xludf.DUMMYFUNCTION("""72."" &amp;+ REGEXEXTRACT(D12, ""\((\d*)\)"")"),"72.011")</f>
        <v>72.011</v>
      </c>
      <c r="F12" s="8" t="s">
        <v>119</v>
      </c>
      <c r="G12" s="6" t="s">
        <v>120</v>
      </c>
      <c r="H12" s="8" t="s">
        <v>121</v>
      </c>
      <c r="I12" s="8" t="s">
        <v>122</v>
      </c>
      <c r="J12" s="8" t="s">
        <v>123</v>
      </c>
      <c r="K12" s="6" t="s">
        <v>124</v>
      </c>
      <c r="L12" s="6" t="s">
        <v>125</v>
      </c>
      <c r="M12" s="162" t="s">
        <v>28</v>
      </c>
      <c r="N12" s="6" t="s">
        <v>126</v>
      </c>
      <c r="O12" s="9" t="s">
        <v>127</v>
      </c>
    </row>
    <row r="13" ht="22.5" customHeight="1">
      <c r="A13" s="20" t="s">
        <v>14</v>
      </c>
      <c r="B13" s="6" t="s">
        <v>128</v>
      </c>
      <c r="C13" s="6" t="s">
        <v>129</v>
      </c>
      <c r="D13" s="6" t="s">
        <v>130</v>
      </c>
      <c r="E13" s="7" t="str">
        <f>IFERROR(__xludf.DUMMYFUNCTION("""72."" &amp;+ REGEXEXTRACT(D13, ""\((\d*)\)"")"),"72.012")</f>
        <v>72.012</v>
      </c>
      <c r="F13" s="8" t="s">
        <v>131</v>
      </c>
      <c r="G13" s="6" t="s">
        <v>132</v>
      </c>
      <c r="H13" s="8" t="s">
        <v>133</v>
      </c>
      <c r="I13" s="10"/>
      <c r="J13" s="10"/>
      <c r="K13" s="6" t="s">
        <v>134</v>
      </c>
      <c r="L13" s="6" t="s">
        <v>135</v>
      </c>
      <c r="M13" s="162" t="s">
        <v>28</v>
      </c>
      <c r="N13" s="6" t="s">
        <v>28</v>
      </c>
      <c r="O13" s="9" t="s">
        <v>136</v>
      </c>
    </row>
    <row r="14" ht="22.5" customHeight="1">
      <c r="A14" s="21" t="s">
        <v>14</v>
      </c>
      <c r="B14" s="6" t="s">
        <v>28</v>
      </c>
      <c r="C14" s="6" t="s">
        <v>137</v>
      </c>
      <c r="D14" s="6" t="s">
        <v>138</v>
      </c>
      <c r="E14" s="7" t="str">
        <f>IFERROR(__xludf.DUMMYFUNCTION("""72."" &amp;+ REGEXEXTRACT(D14, ""\((\d*)\)"")"),"72.013")</f>
        <v>72.013</v>
      </c>
      <c r="F14" s="8" t="s">
        <v>139</v>
      </c>
      <c r="G14" s="6" t="s">
        <v>140</v>
      </c>
      <c r="H14" s="8" t="s">
        <v>141</v>
      </c>
      <c r="I14" s="10"/>
      <c r="J14" s="10"/>
      <c r="K14" s="6" t="s">
        <v>142</v>
      </c>
      <c r="L14" s="6" t="s">
        <v>143</v>
      </c>
      <c r="M14" s="162" t="s">
        <v>28</v>
      </c>
      <c r="N14" s="6" t="s">
        <v>144</v>
      </c>
      <c r="O14" s="9" t="s">
        <v>145</v>
      </c>
    </row>
    <row r="15" ht="22.5" customHeight="1">
      <c r="A15" s="22" t="s">
        <v>14</v>
      </c>
      <c r="B15" s="6" t="s">
        <v>146</v>
      </c>
      <c r="C15" s="6" t="s">
        <v>147</v>
      </c>
      <c r="D15" s="6" t="s">
        <v>148</v>
      </c>
      <c r="E15" s="7" t="str">
        <f>IFERROR(__xludf.DUMMYFUNCTION("""72."" &amp;+ REGEXEXTRACT(D15, ""\((\d*)\)"")"),"72.014")</f>
        <v>72.014</v>
      </c>
      <c r="F15" s="8" t="s">
        <v>149</v>
      </c>
      <c r="G15" s="6" t="s">
        <v>150</v>
      </c>
      <c r="H15" s="8" t="s">
        <v>151</v>
      </c>
      <c r="I15" s="10"/>
      <c r="J15" s="10"/>
      <c r="K15" s="6" t="s">
        <v>152</v>
      </c>
      <c r="L15" s="6" t="s">
        <v>153</v>
      </c>
      <c r="M15" s="162" t="s">
        <v>28</v>
      </c>
      <c r="N15" s="6" t="s">
        <v>154</v>
      </c>
      <c r="O15" s="9" t="s">
        <v>155</v>
      </c>
    </row>
    <row r="16" ht="22.5" customHeight="1">
      <c r="A16" s="23" t="s">
        <v>14</v>
      </c>
      <c r="B16" s="6" t="s">
        <v>156</v>
      </c>
      <c r="C16" s="6" t="s">
        <v>157</v>
      </c>
      <c r="D16" s="6" t="s">
        <v>158</v>
      </c>
      <c r="E16" s="7" t="str">
        <f>IFERROR(__xludf.DUMMYFUNCTION("""72."" &amp;+ REGEXEXTRACT(D16, ""\((\d*)\)"")"),"72.015")</f>
        <v>72.015</v>
      </c>
      <c r="F16" s="8" t="s">
        <v>159</v>
      </c>
      <c r="G16" s="6" t="s">
        <v>168</v>
      </c>
      <c r="H16" s="8" t="s">
        <v>169</v>
      </c>
      <c r="I16" s="10"/>
      <c r="J16" s="10"/>
      <c r="K16" s="6" t="s">
        <v>160</v>
      </c>
      <c r="L16" s="6" t="s">
        <v>161</v>
      </c>
      <c r="M16" s="162" t="s">
        <v>162</v>
      </c>
      <c r="N16" s="6" t="s">
        <v>163</v>
      </c>
      <c r="O16" s="9" t="s">
        <v>164</v>
      </c>
    </row>
    <row r="17" ht="22.5" customHeight="1">
      <c r="A17" s="24"/>
      <c r="B17" s="6" t="s">
        <v>28</v>
      </c>
      <c r="C17" s="6" t="s">
        <v>165</v>
      </c>
      <c r="D17" s="6" t="s">
        <v>166</v>
      </c>
      <c r="E17" s="7" t="str">
        <f>IFERROR(__xludf.DUMMYFUNCTION("""72."" &amp;+ REGEXEXTRACT(D17, ""\((\d*)\)"")"),"72.016")</f>
        <v>72.016</v>
      </c>
      <c r="F17" s="8" t="s">
        <v>167</v>
      </c>
      <c r="G17" s="6" t="s">
        <v>168</v>
      </c>
      <c r="H17" s="8" t="s">
        <v>169</v>
      </c>
      <c r="I17" s="10"/>
      <c r="J17" s="10"/>
      <c r="K17" s="6" t="s">
        <v>28</v>
      </c>
      <c r="L17" s="6" t="s">
        <v>170</v>
      </c>
      <c r="M17" s="162" t="s">
        <v>28</v>
      </c>
      <c r="N17" s="6" t="s">
        <v>171</v>
      </c>
      <c r="O17" s="9" t="s">
        <v>172</v>
      </c>
    </row>
    <row r="18" ht="22.5" customHeight="1">
      <c r="A18" s="25" t="s">
        <v>14</v>
      </c>
      <c r="B18" s="6" t="s">
        <v>28</v>
      </c>
      <c r="C18" s="6" t="s">
        <v>173</v>
      </c>
      <c r="D18" s="6" t="s">
        <v>174</v>
      </c>
      <c r="E18" s="7" t="str">
        <f>IFERROR(__xludf.DUMMYFUNCTION("""72."" &amp;+ REGEXEXTRACT(D18, ""\((\d*)\)"")"),"72.017")</f>
        <v>72.017</v>
      </c>
      <c r="F18" s="8" t="s">
        <v>175</v>
      </c>
      <c r="G18" s="6" t="s">
        <v>176</v>
      </c>
      <c r="H18" s="8" t="s">
        <v>177</v>
      </c>
      <c r="I18" s="10"/>
      <c r="J18" s="10"/>
      <c r="K18" s="6" t="s">
        <v>28</v>
      </c>
      <c r="L18" s="6" t="s">
        <v>178</v>
      </c>
      <c r="M18" s="162" t="s">
        <v>28</v>
      </c>
      <c r="N18" s="6" t="s">
        <v>179</v>
      </c>
      <c r="O18" s="9" t="s">
        <v>180</v>
      </c>
    </row>
    <row r="19" ht="22.5" customHeight="1">
      <c r="A19" s="26" t="s">
        <v>14</v>
      </c>
      <c r="B19" s="6" t="s">
        <v>28</v>
      </c>
      <c r="C19" s="6" t="s">
        <v>181</v>
      </c>
      <c r="D19" s="6" t="s">
        <v>182</v>
      </c>
      <c r="E19" s="7" t="str">
        <f>IFERROR(__xludf.DUMMYFUNCTION("""72."" &amp;+ REGEXEXTRACT(D19, ""\((\d*)\)"")"),"72.018")</f>
        <v>72.018</v>
      </c>
      <c r="F19" s="8" t="s">
        <v>183</v>
      </c>
      <c r="G19" s="6" t="s">
        <v>184</v>
      </c>
      <c r="H19" s="8" t="s">
        <v>185</v>
      </c>
      <c r="I19" s="10"/>
      <c r="J19" s="10"/>
      <c r="K19" s="6" t="s">
        <v>186</v>
      </c>
      <c r="L19" s="6" t="s">
        <v>187</v>
      </c>
      <c r="M19" s="162" t="s">
        <v>28</v>
      </c>
      <c r="N19" s="6" t="s">
        <v>28</v>
      </c>
      <c r="O19" s="9" t="s">
        <v>188</v>
      </c>
    </row>
    <row r="20" ht="22.5" customHeight="1">
      <c r="A20" s="27" t="s">
        <v>14</v>
      </c>
      <c r="B20" s="6" t="s">
        <v>28</v>
      </c>
      <c r="C20" s="6" t="s">
        <v>189</v>
      </c>
      <c r="D20" s="6" t="s">
        <v>190</v>
      </c>
      <c r="E20" s="7" t="str">
        <f>IFERROR(__xludf.DUMMYFUNCTION("""72."" &amp;+ REGEXEXTRACT(D20, ""\((\d*)\)"")"),"72.019")</f>
        <v>72.019</v>
      </c>
      <c r="F20" s="8" t="s">
        <v>191</v>
      </c>
      <c r="G20" s="6" t="s">
        <v>192</v>
      </c>
      <c r="H20" s="8" t="s">
        <v>193</v>
      </c>
      <c r="I20" s="8" t="s">
        <v>194</v>
      </c>
      <c r="J20" s="8" t="s">
        <v>195</v>
      </c>
      <c r="K20" s="6" t="s">
        <v>196</v>
      </c>
      <c r="L20" s="6" t="s">
        <v>197</v>
      </c>
      <c r="M20" s="162" t="s">
        <v>28</v>
      </c>
      <c r="N20" s="6" t="s">
        <v>28</v>
      </c>
      <c r="O20" s="9" t="s">
        <v>198</v>
      </c>
    </row>
    <row r="21" ht="22.5" customHeight="1">
      <c r="A21" s="28" t="s">
        <v>14</v>
      </c>
      <c r="B21" s="6" t="s">
        <v>199</v>
      </c>
      <c r="C21" s="6" t="s">
        <v>200</v>
      </c>
      <c r="D21" s="6" t="s">
        <v>201</v>
      </c>
      <c r="E21" s="7" t="str">
        <f>IFERROR(__xludf.DUMMYFUNCTION("""72."" &amp;+ REGEXEXTRACT(D21, ""\((\d*)\)"")"),"72.020")</f>
        <v>72.020</v>
      </c>
      <c r="F21" s="8" t="s">
        <v>202</v>
      </c>
      <c r="G21" s="6" t="s">
        <v>203</v>
      </c>
      <c r="H21" s="8" t="s">
        <v>204</v>
      </c>
      <c r="I21" s="10"/>
      <c r="J21" s="10"/>
      <c r="K21" s="6" t="s">
        <v>28</v>
      </c>
      <c r="L21" s="6" t="s">
        <v>205</v>
      </c>
      <c r="M21" s="162" t="s">
        <v>28</v>
      </c>
      <c r="N21" s="6" t="s">
        <v>206</v>
      </c>
      <c r="O21" s="9" t="s">
        <v>207</v>
      </c>
    </row>
    <row r="22" ht="22.5" customHeight="1">
      <c r="A22" s="29" t="s">
        <v>14</v>
      </c>
      <c r="B22" s="6" t="s">
        <v>208</v>
      </c>
      <c r="C22" s="6" t="s">
        <v>209</v>
      </c>
      <c r="D22" s="6" t="s">
        <v>210</v>
      </c>
      <c r="E22" s="7" t="str">
        <f>IFERROR(__xludf.DUMMYFUNCTION("""72."" &amp;+ REGEXEXTRACT(D22, ""\((\d*)\)"")"),"72.021")</f>
        <v>72.021</v>
      </c>
      <c r="F22" s="8" t="s">
        <v>211</v>
      </c>
      <c r="G22" s="6" t="s">
        <v>212</v>
      </c>
      <c r="H22" s="8" t="s">
        <v>213</v>
      </c>
      <c r="I22" s="10"/>
      <c r="J22" s="10"/>
      <c r="K22" s="6" t="s">
        <v>214</v>
      </c>
      <c r="L22" s="6" t="s">
        <v>215</v>
      </c>
      <c r="M22" s="162" t="s">
        <v>28</v>
      </c>
      <c r="N22" s="6" t="s">
        <v>216</v>
      </c>
      <c r="O22" s="9" t="s">
        <v>217</v>
      </c>
    </row>
    <row r="23" ht="22.5" customHeight="1">
      <c r="A23" s="30" t="s">
        <v>14</v>
      </c>
      <c r="B23" s="6" t="s">
        <v>218</v>
      </c>
      <c r="C23" s="6" t="s">
        <v>219</v>
      </c>
      <c r="D23" s="6" t="s">
        <v>220</v>
      </c>
      <c r="E23" s="7" t="str">
        <f>IFERROR(__xludf.DUMMYFUNCTION("""72."" &amp;+ REGEXEXTRACT(D23, ""\((\d*)\)"")"),"72.022")</f>
        <v>72.022</v>
      </c>
      <c r="F23" s="8" t="s">
        <v>221</v>
      </c>
      <c r="G23" s="6" t="s">
        <v>222</v>
      </c>
      <c r="H23" s="8" t="s">
        <v>223</v>
      </c>
      <c r="I23" s="10"/>
      <c r="J23" s="10"/>
      <c r="K23" s="6" t="s">
        <v>224</v>
      </c>
      <c r="L23" s="6" t="s">
        <v>225</v>
      </c>
      <c r="M23" s="162" t="s">
        <v>28</v>
      </c>
      <c r="N23" s="6" t="s">
        <v>226</v>
      </c>
      <c r="O23" s="9" t="s">
        <v>227</v>
      </c>
    </row>
    <row r="24" ht="22.5" customHeight="1">
      <c r="A24" s="31" t="s">
        <v>14</v>
      </c>
      <c r="B24" s="6" t="s">
        <v>28</v>
      </c>
      <c r="C24" s="6" t="s">
        <v>228</v>
      </c>
      <c r="D24" s="6" t="s">
        <v>229</v>
      </c>
      <c r="E24" s="7" t="str">
        <f>IFERROR(__xludf.DUMMYFUNCTION("""72."" &amp;+ REGEXEXTRACT(D24, ""\((\d*)\)"")"),"72.023")</f>
        <v>72.023</v>
      </c>
      <c r="F24" s="8" t="s">
        <v>230</v>
      </c>
      <c r="G24" s="6" t="s">
        <v>231</v>
      </c>
      <c r="H24" s="8" t="s">
        <v>232</v>
      </c>
      <c r="I24" s="10"/>
      <c r="J24" s="10"/>
      <c r="K24" s="6" t="s">
        <v>233</v>
      </c>
      <c r="L24" s="6" t="s">
        <v>234</v>
      </c>
      <c r="M24" s="162" t="s">
        <v>28</v>
      </c>
      <c r="N24" s="6" t="s">
        <v>235</v>
      </c>
      <c r="O24" s="9" t="s">
        <v>236</v>
      </c>
    </row>
    <row r="25" ht="22.5" customHeight="1">
      <c r="A25" s="32" t="s">
        <v>14</v>
      </c>
      <c r="B25" s="6" t="s">
        <v>237</v>
      </c>
      <c r="C25" s="6" t="s">
        <v>238</v>
      </c>
      <c r="D25" s="6" t="s">
        <v>239</v>
      </c>
      <c r="E25" s="7" t="str">
        <f>IFERROR(__xludf.DUMMYFUNCTION("""72."" &amp;+ REGEXEXTRACT(D25, ""\((\d*)\)"")"),"72.024")</f>
        <v>72.024</v>
      </c>
      <c r="F25" s="8" t="s">
        <v>240</v>
      </c>
      <c r="G25" s="6" t="s">
        <v>241</v>
      </c>
      <c r="H25" s="8" t="s">
        <v>242</v>
      </c>
      <c r="I25" s="10"/>
      <c r="J25" s="10"/>
      <c r="K25" s="6" t="s">
        <v>243</v>
      </c>
      <c r="L25" s="6" t="s">
        <v>244</v>
      </c>
      <c r="M25" s="162" t="s">
        <v>28</v>
      </c>
      <c r="N25" s="6" t="s">
        <v>245</v>
      </c>
      <c r="O25" s="9" t="s">
        <v>246</v>
      </c>
    </row>
    <row r="26" ht="22.5" customHeight="1">
      <c r="A26" s="33" t="s">
        <v>14</v>
      </c>
      <c r="B26" s="6" t="s">
        <v>28</v>
      </c>
      <c r="C26" s="6" t="s">
        <v>247</v>
      </c>
      <c r="D26" s="6" t="s">
        <v>248</v>
      </c>
      <c r="E26" s="7" t="str">
        <f>IFERROR(__xludf.DUMMYFUNCTION("""72."" &amp;+ REGEXEXTRACT(D26, ""\((\d*)\)"")"),"72.025")</f>
        <v>72.025</v>
      </c>
      <c r="F26" s="8" t="s">
        <v>249</v>
      </c>
      <c r="G26" s="6" t="s">
        <v>250</v>
      </c>
      <c r="H26" s="8" t="s">
        <v>251</v>
      </c>
      <c r="I26" s="10"/>
      <c r="J26" s="10"/>
      <c r="K26" s="6" t="s">
        <v>252</v>
      </c>
      <c r="L26" s="6" t="s">
        <v>28</v>
      </c>
      <c r="M26" s="162" t="s">
        <v>28</v>
      </c>
      <c r="N26" s="6" t="s">
        <v>28</v>
      </c>
      <c r="O26" s="9" t="s">
        <v>253</v>
      </c>
    </row>
    <row r="27" ht="22.5" customHeight="1">
      <c r="A27" s="34"/>
      <c r="B27" s="6" t="s">
        <v>28</v>
      </c>
      <c r="C27" s="6" t="s">
        <v>254</v>
      </c>
      <c r="D27" s="6" t="s">
        <v>255</v>
      </c>
      <c r="E27" s="7" t="str">
        <f>IFERROR(__xludf.DUMMYFUNCTION("""72."" &amp;+ REGEXEXTRACT(D27, ""\((\d*)\)"")"),"72.026")</f>
        <v>72.026</v>
      </c>
      <c r="F27" s="8" t="s">
        <v>256</v>
      </c>
      <c r="G27" s="6" t="s">
        <v>241</v>
      </c>
      <c r="H27" s="8" t="s">
        <v>242</v>
      </c>
      <c r="I27" s="10"/>
      <c r="J27" s="10"/>
      <c r="K27" s="6" t="s">
        <v>28</v>
      </c>
      <c r="L27" s="6" t="s">
        <v>257</v>
      </c>
      <c r="M27" s="162" t="s">
        <v>28</v>
      </c>
      <c r="N27" s="6" t="s">
        <v>258</v>
      </c>
      <c r="O27" s="9" t="s">
        <v>259</v>
      </c>
    </row>
    <row r="28" ht="22.5" customHeight="1">
      <c r="A28" s="35" t="s">
        <v>14</v>
      </c>
      <c r="B28" s="6" t="s">
        <v>28</v>
      </c>
      <c r="C28" s="6" t="s">
        <v>260</v>
      </c>
      <c r="D28" s="6" t="s">
        <v>261</v>
      </c>
      <c r="E28" s="7" t="str">
        <f>IFERROR(__xludf.DUMMYFUNCTION("""72."" &amp;+ REGEXEXTRACT(D28, ""\((\d*)\)"")"),"72.027")</f>
        <v>72.027</v>
      </c>
      <c r="F28" s="8" t="s">
        <v>262</v>
      </c>
      <c r="G28" s="6" t="s">
        <v>263</v>
      </c>
      <c r="H28" s="8" t="s">
        <v>264</v>
      </c>
      <c r="I28" s="10"/>
      <c r="J28" s="10"/>
      <c r="K28" s="6" t="s">
        <v>265</v>
      </c>
      <c r="L28" s="6" t="s">
        <v>266</v>
      </c>
      <c r="M28" s="162" t="s">
        <v>28</v>
      </c>
      <c r="N28" s="6" t="s">
        <v>28</v>
      </c>
      <c r="O28" s="9" t="s">
        <v>267</v>
      </c>
    </row>
    <row r="29" ht="22.5" customHeight="1">
      <c r="A29" s="36" t="s">
        <v>14</v>
      </c>
      <c r="B29" s="6" t="s">
        <v>268</v>
      </c>
      <c r="C29" s="6" t="s">
        <v>269</v>
      </c>
      <c r="D29" s="6" t="s">
        <v>270</v>
      </c>
      <c r="E29" s="7" t="str">
        <f>IFERROR(__xludf.DUMMYFUNCTION("""72."" &amp;+ REGEXEXTRACT(D29, ""\((\d*)\)"")"),"72.028")</f>
        <v>72.028</v>
      </c>
      <c r="F29" s="8" t="s">
        <v>271</v>
      </c>
      <c r="G29" s="6" t="s">
        <v>272</v>
      </c>
      <c r="H29" s="8" t="s">
        <v>273</v>
      </c>
      <c r="I29" s="10"/>
      <c r="J29" s="10"/>
      <c r="K29" s="6" t="s">
        <v>274</v>
      </c>
      <c r="L29" s="6" t="s">
        <v>275</v>
      </c>
      <c r="M29" s="162" t="s">
        <v>276</v>
      </c>
      <c r="N29" s="6" t="s">
        <v>277</v>
      </c>
      <c r="O29" s="9" t="s">
        <v>278</v>
      </c>
    </row>
    <row r="30" ht="22.5" customHeight="1">
      <c r="A30" s="37" t="s">
        <v>14</v>
      </c>
      <c r="B30" s="6" t="s">
        <v>279</v>
      </c>
      <c r="C30" s="6" t="s">
        <v>280</v>
      </c>
      <c r="D30" s="6" t="s">
        <v>281</v>
      </c>
      <c r="E30" s="7" t="str">
        <f>IFERROR(__xludf.DUMMYFUNCTION("""72."" &amp;+ REGEXEXTRACT(D30, ""\((\d*)\)"")"),"72.029")</f>
        <v>72.029</v>
      </c>
      <c r="F30" s="8" t="s">
        <v>282</v>
      </c>
      <c r="G30" s="6" t="s">
        <v>283</v>
      </c>
      <c r="H30" s="8" t="s">
        <v>284</v>
      </c>
      <c r="I30" s="8" t="s">
        <v>285</v>
      </c>
      <c r="J30" s="8" t="s">
        <v>286</v>
      </c>
      <c r="K30" s="6" t="s">
        <v>287</v>
      </c>
      <c r="L30" s="6" t="s">
        <v>288</v>
      </c>
      <c r="M30" s="162" t="s">
        <v>28</v>
      </c>
      <c r="N30" s="6" t="s">
        <v>289</v>
      </c>
      <c r="O30" s="9" t="s">
        <v>290</v>
      </c>
    </row>
    <row r="31" ht="22.5" customHeight="1">
      <c r="A31" s="38" t="s">
        <v>14</v>
      </c>
      <c r="B31" s="6" t="s">
        <v>291</v>
      </c>
      <c r="C31" s="6" t="s">
        <v>292</v>
      </c>
      <c r="D31" s="6" t="s">
        <v>293</v>
      </c>
      <c r="E31" s="7" t="str">
        <f>IFERROR(__xludf.DUMMYFUNCTION("""72."" &amp;+ REGEXEXTRACT(D31, ""\((\d*)\)"")"),"72.030")</f>
        <v>72.030</v>
      </c>
      <c r="F31" s="8" t="s">
        <v>294</v>
      </c>
      <c r="G31" s="6" t="s">
        <v>295</v>
      </c>
      <c r="H31" s="8" t="s">
        <v>296</v>
      </c>
      <c r="I31" s="8" t="s">
        <v>297</v>
      </c>
      <c r="J31" s="8" t="s">
        <v>298</v>
      </c>
      <c r="K31" s="6" t="s">
        <v>299</v>
      </c>
      <c r="L31" s="6" t="s">
        <v>300</v>
      </c>
      <c r="M31" s="162" t="s">
        <v>28</v>
      </c>
      <c r="N31" s="6" t="s">
        <v>301</v>
      </c>
      <c r="O31" s="9" t="s">
        <v>302</v>
      </c>
    </row>
    <row r="32" ht="22.5" customHeight="1">
      <c r="A32" s="39" t="s">
        <v>14</v>
      </c>
      <c r="B32" s="6" t="s">
        <v>303</v>
      </c>
      <c r="C32" s="6" t="s">
        <v>304</v>
      </c>
      <c r="D32" s="6" t="s">
        <v>305</v>
      </c>
      <c r="E32" s="7" t="str">
        <f>IFERROR(__xludf.DUMMYFUNCTION("""72."" &amp;+ REGEXEXTRACT(D32, ""\((\d*)\)"")"),"72.031")</f>
        <v>72.031</v>
      </c>
      <c r="F32" s="8" t="s">
        <v>306</v>
      </c>
      <c r="G32" s="6" t="s">
        <v>307</v>
      </c>
      <c r="H32" s="8" t="s">
        <v>308</v>
      </c>
      <c r="I32" s="10"/>
      <c r="J32" s="10"/>
      <c r="K32" s="6" t="s">
        <v>28</v>
      </c>
      <c r="L32" s="6" t="s">
        <v>309</v>
      </c>
      <c r="M32" s="162" t="s">
        <v>28</v>
      </c>
      <c r="N32" s="6" t="s">
        <v>28</v>
      </c>
      <c r="O32" s="9" t="s">
        <v>310</v>
      </c>
    </row>
    <row r="33" ht="22.5" customHeight="1">
      <c r="A33" s="40" t="s">
        <v>14</v>
      </c>
      <c r="B33" s="6" t="s">
        <v>311</v>
      </c>
      <c r="C33" s="6" t="s">
        <v>312</v>
      </c>
      <c r="D33" s="6" t="s">
        <v>313</v>
      </c>
      <c r="E33" s="7" t="str">
        <f>IFERROR(__xludf.DUMMYFUNCTION("""72."" &amp;+ REGEXEXTRACT(D33, ""\((\d*)\)"")"),"72.032")</f>
        <v>72.032</v>
      </c>
      <c r="F33" s="8" t="s">
        <v>314</v>
      </c>
      <c r="G33" s="6" t="s">
        <v>315</v>
      </c>
      <c r="H33" s="8" t="s">
        <v>316</v>
      </c>
      <c r="I33" s="10"/>
      <c r="J33" s="10"/>
      <c r="K33" s="6" t="s">
        <v>317</v>
      </c>
      <c r="L33" s="6" t="s">
        <v>318</v>
      </c>
      <c r="M33" s="162" t="s">
        <v>28</v>
      </c>
      <c r="N33" s="6" t="s">
        <v>319</v>
      </c>
      <c r="O33" s="9" t="s">
        <v>320</v>
      </c>
    </row>
    <row r="34" ht="22.5" customHeight="1">
      <c r="A34" s="41" t="s">
        <v>14</v>
      </c>
      <c r="B34" s="6" t="s">
        <v>28</v>
      </c>
      <c r="C34" s="6" t="s">
        <v>321</v>
      </c>
      <c r="D34" s="6" t="s">
        <v>322</v>
      </c>
      <c r="E34" s="7" t="str">
        <f>IFERROR(__xludf.DUMMYFUNCTION("""72."" &amp;+ REGEXEXTRACT(D34, ""\((\d*)\)"")"),"72.033")</f>
        <v>72.033</v>
      </c>
      <c r="F34" s="8" t="s">
        <v>323</v>
      </c>
      <c r="G34" s="6" t="s">
        <v>324</v>
      </c>
      <c r="H34" s="8" t="s">
        <v>325</v>
      </c>
      <c r="I34" s="10"/>
      <c r="J34" s="10"/>
      <c r="K34" s="6" t="s">
        <v>326</v>
      </c>
      <c r="L34" s="6" t="s">
        <v>327</v>
      </c>
      <c r="M34" s="162" t="s">
        <v>28</v>
      </c>
      <c r="N34" s="6" t="s">
        <v>28</v>
      </c>
      <c r="O34" s="9" t="s">
        <v>328</v>
      </c>
    </row>
    <row r="35" ht="22.5" customHeight="1">
      <c r="A35" s="42" t="s">
        <v>14</v>
      </c>
      <c r="B35" s="6" t="s">
        <v>329</v>
      </c>
      <c r="C35" s="6" t="s">
        <v>330</v>
      </c>
      <c r="D35" s="6" t="s">
        <v>331</v>
      </c>
      <c r="E35" s="7" t="str">
        <f>IFERROR(__xludf.DUMMYFUNCTION("""72."" &amp;+ REGEXEXTRACT(D35, ""\((\d*)\)"")"),"72.034")</f>
        <v>72.034</v>
      </c>
      <c r="F35" s="8" t="s">
        <v>332</v>
      </c>
      <c r="G35" s="6" t="s">
        <v>333</v>
      </c>
      <c r="H35" s="8" t="s">
        <v>334</v>
      </c>
      <c r="I35" s="10"/>
      <c r="J35" s="10"/>
      <c r="K35" s="6" t="s">
        <v>335</v>
      </c>
      <c r="L35" s="6" t="s">
        <v>336</v>
      </c>
      <c r="M35" s="162" t="s">
        <v>337</v>
      </c>
      <c r="N35" s="6" t="s">
        <v>338</v>
      </c>
      <c r="O35" s="9" t="s">
        <v>339</v>
      </c>
    </row>
    <row r="36" ht="22.5" customHeight="1">
      <c r="A36" s="43" t="s">
        <v>14</v>
      </c>
      <c r="B36" s="6" t="s">
        <v>340</v>
      </c>
      <c r="C36" s="6" t="s">
        <v>341</v>
      </c>
      <c r="D36" s="6" t="s">
        <v>342</v>
      </c>
      <c r="E36" s="7" t="str">
        <f>IFERROR(__xludf.DUMMYFUNCTION("""72."" &amp;+ REGEXEXTRACT(D36, ""\((\d*)\)"")"),"72.035")</f>
        <v>72.035</v>
      </c>
      <c r="F36" s="8" t="s">
        <v>343</v>
      </c>
      <c r="G36" s="6" t="s">
        <v>344</v>
      </c>
      <c r="H36" s="8" t="s">
        <v>345</v>
      </c>
      <c r="I36" s="10"/>
      <c r="J36" s="10"/>
      <c r="K36" s="6" t="s">
        <v>346</v>
      </c>
      <c r="L36" s="6" t="s">
        <v>347</v>
      </c>
      <c r="M36" s="162" t="s">
        <v>28</v>
      </c>
      <c r="N36" s="6" t="s">
        <v>348</v>
      </c>
      <c r="O36" s="9" t="s">
        <v>349</v>
      </c>
    </row>
    <row r="37" ht="22.5" customHeight="1">
      <c r="A37" s="44" t="s">
        <v>14</v>
      </c>
      <c r="B37" s="6" t="s">
        <v>28</v>
      </c>
      <c r="C37" s="6" t="s">
        <v>350</v>
      </c>
      <c r="D37" s="6" t="s">
        <v>351</v>
      </c>
      <c r="E37" s="7" t="str">
        <f>IFERROR(__xludf.DUMMYFUNCTION("""72."" &amp;+ REGEXEXTRACT(D37, ""\((\d*)\)"")"),"72.036")</f>
        <v>72.036</v>
      </c>
      <c r="F37" s="8" t="s">
        <v>352</v>
      </c>
      <c r="G37" s="6" t="s">
        <v>353</v>
      </c>
      <c r="H37" s="8" t="s">
        <v>354</v>
      </c>
      <c r="I37" s="10"/>
      <c r="J37" s="10"/>
      <c r="K37" s="6" t="s">
        <v>28</v>
      </c>
      <c r="L37" s="6" t="s">
        <v>355</v>
      </c>
      <c r="M37" s="162" t="s">
        <v>28</v>
      </c>
      <c r="N37" s="6" t="s">
        <v>356</v>
      </c>
      <c r="O37" s="9" t="s">
        <v>357</v>
      </c>
    </row>
    <row r="38" ht="22.5" customHeight="1">
      <c r="A38" s="45" t="s">
        <v>14</v>
      </c>
      <c r="B38" s="6" t="s">
        <v>358</v>
      </c>
      <c r="C38" s="6" t="s">
        <v>359</v>
      </c>
      <c r="D38" s="6" t="s">
        <v>360</v>
      </c>
      <c r="E38" s="7" t="str">
        <f>IFERROR(__xludf.DUMMYFUNCTION("""72."" &amp;+ REGEXEXTRACT(D38, ""\((\d*)\)"")"),"72.037")</f>
        <v>72.037</v>
      </c>
      <c r="F38" s="8" t="s">
        <v>361</v>
      </c>
      <c r="G38" s="6" t="s">
        <v>362</v>
      </c>
      <c r="H38" s="8" t="s">
        <v>363</v>
      </c>
      <c r="I38" s="10"/>
      <c r="J38" s="10"/>
      <c r="K38" s="6" t="s">
        <v>364</v>
      </c>
      <c r="L38" s="6" t="s">
        <v>365</v>
      </c>
      <c r="M38" s="162" t="s">
        <v>28</v>
      </c>
      <c r="N38" s="6" t="s">
        <v>366</v>
      </c>
      <c r="O38" s="9" t="s">
        <v>367</v>
      </c>
    </row>
    <row r="39" ht="22.5" customHeight="1">
      <c r="A39" s="46" t="s">
        <v>14</v>
      </c>
      <c r="B39" s="6" t="s">
        <v>28</v>
      </c>
      <c r="C39" s="6" t="s">
        <v>368</v>
      </c>
      <c r="D39" s="6" t="s">
        <v>369</v>
      </c>
      <c r="E39" s="7" t="str">
        <f>IFERROR(__xludf.DUMMYFUNCTION("""72."" &amp;+ REGEXEXTRACT(D39, ""\((\d*)\)"")"),"72.038")</f>
        <v>72.038</v>
      </c>
      <c r="F39" s="8" t="s">
        <v>370</v>
      </c>
      <c r="G39" s="6" t="s">
        <v>371</v>
      </c>
      <c r="H39" s="8" t="s">
        <v>372</v>
      </c>
      <c r="I39" s="8" t="s">
        <v>373</v>
      </c>
      <c r="J39" s="8" t="s">
        <v>374</v>
      </c>
      <c r="K39" s="6" t="s">
        <v>28</v>
      </c>
      <c r="L39" s="6" t="s">
        <v>375</v>
      </c>
      <c r="M39" s="162" t="s">
        <v>28</v>
      </c>
      <c r="N39" s="6" t="s">
        <v>376</v>
      </c>
      <c r="O39" s="9" t="s">
        <v>377</v>
      </c>
    </row>
    <row r="40" ht="22.5" customHeight="1">
      <c r="A40" s="47" t="s">
        <v>14</v>
      </c>
      <c r="B40" s="6" t="s">
        <v>378</v>
      </c>
      <c r="C40" s="6" t="s">
        <v>379</v>
      </c>
      <c r="D40" s="6" t="s">
        <v>380</v>
      </c>
      <c r="E40" s="7" t="str">
        <f>IFERROR(__xludf.DUMMYFUNCTION("""72."" &amp;+ REGEXEXTRACT(D40, ""\((\d*)\)"")"),"72.039")</f>
        <v>72.039</v>
      </c>
      <c r="F40" s="8" t="s">
        <v>381</v>
      </c>
      <c r="G40" s="6" t="s">
        <v>382</v>
      </c>
      <c r="H40" s="8" t="s">
        <v>383</v>
      </c>
      <c r="I40" s="10"/>
      <c r="J40" s="10"/>
      <c r="K40" s="6" t="s">
        <v>384</v>
      </c>
      <c r="L40" s="6" t="s">
        <v>385</v>
      </c>
      <c r="M40" s="162" t="s">
        <v>28</v>
      </c>
      <c r="N40" s="6" t="s">
        <v>386</v>
      </c>
      <c r="O40" s="9" t="s">
        <v>387</v>
      </c>
    </row>
    <row r="41" ht="22.5" customHeight="1">
      <c r="A41" s="48" t="s">
        <v>14</v>
      </c>
      <c r="B41" s="6" t="s">
        <v>388</v>
      </c>
      <c r="C41" s="6" t="s">
        <v>389</v>
      </c>
      <c r="D41" s="6" t="s">
        <v>390</v>
      </c>
      <c r="E41" s="7" t="str">
        <f>IFERROR(__xludf.DUMMYFUNCTION("""72."" &amp;+ REGEXEXTRACT(D41, ""\((\d*)\)"")"),"72.040")</f>
        <v>72.040</v>
      </c>
      <c r="F41" s="8" t="s">
        <v>391</v>
      </c>
      <c r="G41" s="6" t="s">
        <v>392</v>
      </c>
      <c r="H41" s="8" t="s">
        <v>393</v>
      </c>
      <c r="I41" s="10"/>
      <c r="J41" s="10"/>
      <c r="K41" s="6" t="s">
        <v>394</v>
      </c>
      <c r="L41" s="6" t="s">
        <v>395</v>
      </c>
      <c r="M41" s="162" t="s">
        <v>28</v>
      </c>
      <c r="N41" s="6" t="s">
        <v>396</v>
      </c>
      <c r="O41" s="9" t="s">
        <v>397</v>
      </c>
    </row>
    <row r="42" ht="22.5" customHeight="1">
      <c r="A42" s="49" t="s">
        <v>14</v>
      </c>
      <c r="B42" s="6" t="s">
        <v>398</v>
      </c>
      <c r="C42" s="6" t="s">
        <v>399</v>
      </c>
      <c r="D42" s="6" t="s">
        <v>400</v>
      </c>
      <c r="E42" s="7" t="str">
        <f>IFERROR(__xludf.DUMMYFUNCTION("""72."" &amp;+ REGEXEXTRACT(D42, ""\((\d*)\)"")"),"72.041")</f>
        <v>72.041</v>
      </c>
      <c r="F42" s="8" t="s">
        <v>401</v>
      </c>
      <c r="G42" s="6" t="s">
        <v>402</v>
      </c>
      <c r="H42" s="8" t="s">
        <v>403</v>
      </c>
      <c r="I42" s="10"/>
      <c r="J42" s="10"/>
      <c r="K42" s="6" t="s">
        <v>28</v>
      </c>
      <c r="L42" s="6" t="s">
        <v>404</v>
      </c>
      <c r="M42" s="162" t="s">
        <v>28</v>
      </c>
      <c r="N42" s="6" t="s">
        <v>405</v>
      </c>
      <c r="O42" s="9" t="s">
        <v>406</v>
      </c>
    </row>
    <row r="43" ht="22.5" customHeight="1">
      <c r="A43" s="50" t="s">
        <v>14</v>
      </c>
      <c r="B43" s="6" t="s">
        <v>407</v>
      </c>
      <c r="C43" s="6" t="s">
        <v>408</v>
      </c>
      <c r="D43" s="6" t="s">
        <v>409</v>
      </c>
      <c r="E43" s="7" t="str">
        <f>IFERROR(__xludf.DUMMYFUNCTION("""72."" &amp;+ REGEXEXTRACT(D43, ""\((\d*)\)"")"),"72.042")</f>
        <v>72.042</v>
      </c>
      <c r="F43" s="8" t="s">
        <v>410</v>
      </c>
      <c r="G43" s="6" t="s">
        <v>411</v>
      </c>
      <c r="H43" s="8" t="s">
        <v>412</v>
      </c>
      <c r="I43" s="10"/>
      <c r="J43" s="10"/>
      <c r="K43" s="6" t="s">
        <v>413</v>
      </c>
      <c r="L43" s="6" t="s">
        <v>414</v>
      </c>
      <c r="M43" s="162" t="s">
        <v>28</v>
      </c>
      <c r="N43" s="6" t="s">
        <v>415</v>
      </c>
      <c r="O43" s="9" t="s">
        <v>416</v>
      </c>
    </row>
    <row r="44" ht="22.5" customHeight="1">
      <c r="A44" s="51" t="s">
        <v>14</v>
      </c>
      <c r="B44" s="6" t="s">
        <v>417</v>
      </c>
      <c r="C44" s="6" t="s">
        <v>418</v>
      </c>
      <c r="D44" s="6" t="s">
        <v>419</v>
      </c>
      <c r="E44" s="7" t="str">
        <f>IFERROR(__xludf.DUMMYFUNCTION("""72."" &amp;+ REGEXEXTRACT(D44, ""\((\d*)\)"")"),"72.043")</f>
        <v>72.043</v>
      </c>
      <c r="F44" s="8" t="s">
        <v>420</v>
      </c>
      <c r="G44" s="6" t="s">
        <v>421</v>
      </c>
      <c r="H44" s="8" t="s">
        <v>422</v>
      </c>
      <c r="I44" s="8" t="s">
        <v>423</v>
      </c>
      <c r="J44" s="8" t="s">
        <v>424</v>
      </c>
      <c r="K44" s="6" t="s">
        <v>425</v>
      </c>
      <c r="L44" s="6" t="s">
        <v>426</v>
      </c>
      <c r="M44" s="162" t="s">
        <v>28</v>
      </c>
      <c r="N44" s="6" t="s">
        <v>427</v>
      </c>
      <c r="O44" s="9" t="s">
        <v>428</v>
      </c>
    </row>
    <row r="45" ht="22.5" customHeight="1">
      <c r="A45" s="52" t="s">
        <v>14</v>
      </c>
      <c r="B45" s="6" t="s">
        <v>429</v>
      </c>
      <c r="C45" s="6" t="s">
        <v>430</v>
      </c>
      <c r="D45" s="6" t="s">
        <v>431</v>
      </c>
      <c r="E45" s="7" t="str">
        <f>IFERROR(__xludf.DUMMYFUNCTION("""72."" &amp;+ REGEXEXTRACT(D45, ""\((\d*)\)"")"),"72.044")</f>
        <v>72.044</v>
      </c>
      <c r="F45" s="8" t="s">
        <v>432</v>
      </c>
      <c r="G45" s="6" t="s">
        <v>433</v>
      </c>
      <c r="H45" s="8" t="s">
        <v>434</v>
      </c>
      <c r="I45" s="10"/>
      <c r="J45" s="10"/>
      <c r="K45" s="6" t="s">
        <v>435</v>
      </c>
      <c r="L45" s="6" t="s">
        <v>436</v>
      </c>
      <c r="M45" s="162" t="s">
        <v>28</v>
      </c>
      <c r="N45" s="6" t="s">
        <v>28</v>
      </c>
      <c r="O45" s="9" t="s">
        <v>437</v>
      </c>
    </row>
    <row r="46" ht="22.5" customHeight="1">
      <c r="A46" s="53" t="s">
        <v>14</v>
      </c>
      <c r="B46" s="6" t="s">
        <v>438</v>
      </c>
      <c r="C46" s="6" t="s">
        <v>439</v>
      </c>
      <c r="D46" s="6" t="s">
        <v>440</v>
      </c>
      <c r="E46" s="7" t="str">
        <f>IFERROR(__xludf.DUMMYFUNCTION("""72."" &amp;+ REGEXEXTRACT(D46, ""\((\d*)\)"")"),"72.045")</f>
        <v>72.045</v>
      </c>
      <c r="F46" s="8" t="s">
        <v>441</v>
      </c>
      <c r="G46" s="6" t="s">
        <v>442</v>
      </c>
      <c r="H46" s="8" t="s">
        <v>443</v>
      </c>
      <c r="I46" s="8" t="s">
        <v>444</v>
      </c>
      <c r="J46" s="8" t="s">
        <v>445</v>
      </c>
      <c r="K46" s="6" t="s">
        <v>446</v>
      </c>
      <c r="L46" s="6" t="s">
        <v>447</v>
      </c>
      <c r="M46" s="162" t="s">
        <v>448</v>
      </c>
      <c r="N46" s="6" t="s">
        <v>28</v>
      </c>
      <c r="O46" s="9" t="s">
        <v>449</v>
      </c>
    </row>
    <row r="47" ht="22.5" customHeight="1">
      <c r="A47" s="54" t="s">
        <v>14</v>
      </c>
      <c r="B47" s="6" t="s">
        <v>28</v>
      </c>
      <c r="C47" s="6" t="s">
        <v>450</v>
      </c>
      <c r="D47" s="6" t="s">
        <v>451</v>
      </c>
      <c r="E47" s="7" t="str">
        <f>IFERROR(__xludf.DUMMYFUNCTION("""72."" &amp;+ REGEXEXTRACT(D47, ""\((\d*)\)"")"),"72.046")</f>
        <v>72.046</v>
      </c>
      <c r="F47" s="8" t="s">
        <v>452</v>
      </c>
      <c r="G47" s="6" t="s">
        <v>453</v>
      </c>
      <c r="H47" s="8" t="s">
        <v>454</v>
      </c>
      <c r="I47" s="10"/>
      <c r="J47" s="10"/>
      <c r="K47" s="6" t="s">
        <v>28</v>
      </c>
      <c r="L47" s="6" t="s">
        <v>455</v>
      </c>
      <c r="M47" s="162" t="s">
        <v>28</v>
      </c>
      <c r="N47" s="6" t="s">
        <v>28</v>
      </c>
      <c r="O47" s="9" t="s">
        <v>456</v>
      </c>
    </row>
    <row r="48" ht="22.5" customHeight="1">
      <c r="A48" s="55" t="s">
        <v>14</v>
      </c>
      <c r="B48" s="6" t="s">
        <v>457</v>
      </c>
      <c r="C48" s="6" t="s">
        <v>458</v>
      </c>
      <c r="D48" s="6" t="s">
        <v>459</v>
      </c>
      <c r="E48" s="7" t="str">
        <f>IFERROR(__xludf.DUMMYFUNCTION("""72."" &amp;+ REGEXEXTRACT(D48, ""\((\d*)\)"")"),"72.047")</f>
        <v>72.047</v>
      </c>
      <c r="F48" s="8" t="s">
        <v>460</v>
      </c>
      <c r="G48" s="6" t="s">
        <v>461</v>
      </c>
      <c r="H48" s="8" t="s">
        <v>462</v>
      </c>
      <c r="I48" s="8" t="s">
        <v>463</v>
      </c>
      <c r="J48" s="8" t="s">
        <v>464</v>
      </c>
      <c r="K48" s="6" t="s">
        <v>28</v>
      </c>
      <c r="L48" s="6" t="s">
        <v>465</v>
      </c>
      <c r="M48" s="162" t="s">
        <v>28</v>
      </c>
      <c r="N48" s="6" t="s">
        <v>466</v>
      </c>
      <c r="O48" s="9" t="s">
        <v>467</v>
      </c>
    </row>
    <row r="49" ht="22.5" customHeight="1">
      <c r="A49" s="56" t="s">
        <v>14</v>
      </c>
      <c r="B49" s="6" t="s">
        <v>468</v>
      </c>
      <c r="C49" s="6" t="s">
        <v>469</v>
      </c>
      <c r="D49" s="6" t="s">
        <v>470</v>
      </c>
      <c r="E49" s="7" t="str">
        <f>IFERROR(__xludf.DUMMYFUNCTION("""72."" &amp;+ REGEXEXTRACT(D49, ""\((\d*)\)"")"),"72.048")</f>
        <v>72.048</v>
      </c>
      <c r="F49" s="8" t="s">
        <v>471</v>
      </c>
      <c r="G49" s="6" t="s">
        <v>472</v>
      </c>
      <c r="H49" s="8" t="s">
        <v>473</v>
      </c>
      <c r="I49" s="10"/>
      <c r="J49" s="10"/>
      <c r="K49" s="6" t="s">
        <v>28</v>
      </c>
      <c r="L49" s="6" t="s">
        <v>474</v>
      </c>
      <c r="M49" s="162" t="s">
        <v>28</v>
      </c>
      <c r="N49" s="6" t="s">
        <v>475</v>
      </c>
      <c r="O49" s="57"/>
    </row>
    <row r="50" ht="22.5" customHeight="1">
      <c r="A50" s="58"/>
      <c r="B50" s="6" t="s">
        <v>476</v>
      </c>
      <c r="C50" s="6" t="s">
        <v>477</v>
      </c>
      <c r="D50" s="6" t="s">
        <v>478</v>
      </c>
      <c r="E50" s="7" t="str">
        <f>IFERROR(__xludf.DUMMYFUNCTION("""72."" &amp;+ REGEXEXTRACT(D50, ""\((\d*)\)"")"),"72.049")</f>
        <v>72.049</v>
      </c>
      <c r="F50" s="8" t="s">
        <v>479</v>
      </c>
      <c r="G50" s="6" t="s">
        <v>480</v>
      </c>
      <c r="H50" s="8" t="s">
        <v>462</v>
      </c>
      <c r="I50" s="8" t="s">
        <v>463</v>
      </c>
      <c r="J50" s="8" t="s">
        <v>464</v>
      </c>
      <c r="K50" s="6" t="s">
        <v>481</v>
      </c>
      <c r="L50" s="6" t="s">
        <v>482</v>
      </c>
      <c r="M50" s="162" t="s">
        <v>28</v>
      </c>
      <c r="N50" s="6" t="s">
        <v>28</v>
      </c>
      <c r="O50" s="9" t="s">
        <v>483</v>
      </c>
    </row>
    <row r="51" ht="22.5" customHeight="1">
      <c r="A51" s="59" t="s">
        <v>14</v>
      </c>
      <c r="B51" s="6" t="s">
        <v>484</v>
      </c>
      <c r="C51" s="6" t="s">
        <v>485</v>
      </c>
      <c r="D51" s="6" t="s">
        <v>486</v>
      </c>
      <c r="E51" s="7" t="str">
        <f>IFERROR(__xludf.DUMMYFUNCTION("""72."" &amp;+ REGEXEXTRACT(D51, ""\((\d*)\)"")"),"72.050")</f>
        <v>72.050</v>
      </c>
      <c r="F51" s="8" t="s">
        <v>487</v>
      </c>
      <c r="G51" s="6" t="s">
        <v>488</v>
      </c>
      <c r="H51" s="8" t="s">
        <v>489</v>
      </c>
      <c r="I51" s="8" t="s">
        <v>490</v>
      </c>
      <c r="J51" s="8" t="s">
        <v>491</v>
      </c>
      <c r="K51" s="6" t="s">
        <v>492</v>
      </c>
      <c r="L51" s="6" t="s">
        <v>493</v>
      </c>
      <c r="M51" s="162" t="s">
        <v>28</v>
      </c>
      <c r="N51" s="6" t="s">
        <v>28</v>
      </c>
      <c r="O51" s="9" t="s">
        <v>494</v>
      </c>
    </row>
    <row r="52" ht="22.5" customHeight="1">
      <c r="A52" s="60" t="s">
        <v>14</v>
      </c>
      <c r="B52" s="6" t="s">
        <v>495</v>
      </c>
      <c r="C52" s="6" t="s">
        <v>496</v>
      </c>
      <c r="D52" s="6" t="s">
        <v>497</v>
      </c>
      <c r="E52" s="7" t="str">
        <f>IFERROR(__xludf.DUMMYFUNCTION("""72."" &amp;+ REGEXEXTRACT(D52, ""\((\d*)\)"")"),"72.051")</f>
        <v>72.051</v>
      </c>
      <c r="F52" s="8" t="s">
        <v>498</v>
      </c>
      <c r="G52" s="6" t="s">
        <v>499</v>
      </c>
      <c r="H52" s="8" t="s">
        <v>500</v>
      </c>
      <c r="I52" s="8" t="s">
        <v>501</v>
      </c>
      <c r="J52" s="8" t="s">
        <v>502</v>
      </c>
      <c r="K52" s="6" t="s">
        <v>503</v>
      </c>
      <c r="L52" s="6" t="s">
        <v>504</v>
      </c>
      <c r="M52" s="162" t="s">
        <v>505</v>
      </c>
      <c r="N52" s="6" t="s">
        <v>506</v>
      </c>
      <c r="O52" s="9" t="s">
        <v>507</v>
      </c>
    </row>
    <row r="53" ht="22.5" customHeight="1">
      <c r="A53" s="61" t="s">
        <v>14</v>
      </c>
      <c r="B53" s="6" t="s">
        <v>508</v>
      </c>
      <c r="C53" s="6" t="s">
        <v>509</v>
      </c>
      <c r="D53" s="6" t="s">
        <v>510</v>
      </c>
      <c r="E53" s="7" t="str">
        <f>IFERROR(__xludf.DUMMYFUNCTION("""72."" &amp;+ REGEXEXTRACT(D53, ""\((\d*)\)"")"),"72.052")</f>
        <v>72.052</v>
      </c>
      <c r="F53" s="8" t="s">
        <v>511</v>
      </c>
      <c r="G53" s="6" t="s">
        <v>512</v>
      </c>
      <c r="H53" s="8" t="s">
        <v>513</v>
      </c>
      <c r="I53" s="8" t="s">
        <v>514</v>
      </c>
      <c r="J53" s="8" t="s">
        <v>515</v>
      </c>
      <c r="K53" s="6" t="s">
        <v>516</v>
      </c>
      <c r="L53" s="6" t="s">
        <v>517</v>
      </c>
      <c r="M53" s="162" t="s">
        <v>28</v>
      </c>
      <c r="N53" s="6" t="s">
        <v>518</v>
      </c>
      <c r="O53" s="9" t="s">
        <v>519</v>
      </c>
    </row>
    <row r="54" ht="22.5" customHeight="1">
      <c r="A54" s="62" t="s">
        <v>14</v>
      </c>
      <c r="B54" s="6" t="s">
        <v>520</v>
      </c>
      <c r="C54" s="6" t="s">
        <v>521</v>
      </c>
      <c r="D54" s="6" t="s">
        <v>522</v>
      </c>
      <c r="E54" s="7" t="str">
        <f>IFERROR(__xludf.DUMMYFUNCTION("""72."" &amp;+ REGEXEXTRACT(D54, ""\((\d*)\)"")"),"72.053")</f>
        <v>72.053</v>
      </c>
      <c r="F54" s="8" t="s">
        <v>523</v>
      </c>
      <c r="G54" s="6" t="s">
        <v>524</v>
      </c>
      <c r="H54" s="8" t="s">
        <v>525</v>
      </c>
      <c r="I54" s="8" t="s">
        <v>526</v>
      </c>
      <c r="J54" s="8" t="s">
        <v>527</v>
      </c>
      <c r="K54" s="6" t="s">
        <v>28</v>
      </c>
      <c r="L54" s="6" t="s">
        <v>528</v>
      </c>
      <c r="M54" s="162" t="s">
        <v>28</v>
      </c>
      <c r="N54" s="6" t="s">
        <v>529</v>
      </c>
      <c r="O54" s="9" t="s">
        <v>530</v>
      </c>
    </row>
    <row r="55" ht="22.5" customHeight="1">
      <c r="A55" s="63" t="s">
        <v>14</v>
      </c>
      <c r="B55" s="6" t="s">
        <v>531</v>
      </c>
      <c r="C55" s="6" t="s">
        <v>532</v>
      </c>
      <c r="D55" s="6" t="s">
        <v>533</v>
      </c>
      <c r="E55" s="7" t="str">
        <f>IFERROR(__xludf.DUMMYFUNCTION("""72."" &amp;+ REGEXEXTRACT(D55, ""\((\d*)\)"")"),"72.054")</f>
        <v>72.054</v>
      </c>
      <c r="F55" s="8" t="s">
        <v>534</v>
      </c>
      <c r="G55" s="6" t="s">
        <v>535</v>
      </c>
      <c r="H55" s="8" t="s">
        <v>536</v>
      </c>
      <c r="I55" s="8" t="s">
        <v>537</v>
      </c>
      <c r="J55" s="8" t="s">
        <v>538</v>
      </c>
      <c r="K55" s="6" t="s">
        <v>28</v>
      </c>
      <c r="L55" s="6" t="s">
        <v>539</v>
      </c>
      <c r="M55" s="162" t="s">
        <v>28</v>
      </c>
      <c r="N55" s="6" t="s">
        <v>540</v>
      </c>
      <c r="O55" s="9" t="s">
        <v>541</v>
      </c>
    </row>
    <row r="56" ht="22.5" customHeight="1">
      <c r="A56" s="64" t="s">
        <v>14</v>
      </c>
      <c r="B56" s="6" t="s">
        <v>542</v>
      </c>
      <c r="C56" s="6" t="s">
        <v>543</v>
      </c>
      <c r="D56" s="6" t="s">
        <v>544</v>
      </c>
      <c r="E56" s="7" t="str">
        <f>IFERROR(__xludf.DUMMYFUNCTION("""72."" &amp;+ REGEXEXTRACT(D56, ""\((\d*)\)"")"),"72.055")</f>
        <v>72.055</v>
      </c>
      <c r="F56" s="8" t="s">
        <v>545</v>
      </c>
      <c r="G56" s="6" t="s">
        <v>546</v>
      </c>
      <c r="H56" s="8" t="s">
        <v>547</v>
      </c>
      <c r="I56" s="8" t="s">
        <v>548</v>
      </c>
      <c r="J56" s="8" t="s">
        <v>549</v>
      </c>
      <c r="K56" s="6" t="s">
        <v>28</v>
      </c>
      <c r="L56" s="6" t="s">
        <v>550</v>
      </c>
      <c r="M56" s="162" t="s">
        <v>551</v>
      </c>
      <c r="N56" s="6" t="s">
        <v>28</v>
      </c>
      <c r="O56" s="9" t="s">
        <v>552</v>
      </c>
    </row>
    <row r="57" ht="22.5" customHeight="1">
      <c r="A57" s="65" t="s">
        <v>14</v>
      </c>
      <c r="B57" s="66" t="s">
        <v>553</v>
      </c>
      <c r="C57" s="66" t="s">
        <v>554</v>
      </c>
      <c r="D57" s="66" t="s">
        <v>555</v>
      </c>
      <c r="E57" s="67" t="str">
        <f>IFERROR(__xludf.DUMMYFUNCTION("""72."" &amp;+ REGEXEXTRACT(D57, ""\((\d*)\)"")"),"72.056")</f>
        <v>72.056</v>
      </c>
      <c r="F57" s="68" t="s">
        <v>556</v>
      </c>
      <c r="G57" s="66" t="s">
        <v>557</v>
      </c>
      <c r="H57" s="68" t="s">
        <v>558</v>
      </c>
      <c r="I57" s="69"/>
      <c r="J57" s="69"/>
      <c r="K57" s="66" t="s">
        <v>28</v>
      </c>
      <c r="L57" s="66" t="s">
        <v>559</v>
      </c>
      <c r="M57" s="286" t="s">
        <v>28</v>
      </c>
      <c r="N57" s="66" t="s">
        <v>560</v>
      </c>
      <c r="O57" s="70" t="s">
        <v>561</v>
      </c>
      <c r="P57" s="95"/>
      <c r="Q57" s="95"/>
      <c r="R57" s="95"/>
      <c r="S57" s="95"/>
      <c r="T57" s="95"/>
      <c r="U57" s="95"/>
      <c r="V57" s="95"/>
      <c r="W57" s="95"/>
      <c r="X57" s="95"/>
      <c r="Y57" s="95"/>
    </row>
    <row r="58" ht="22.5" customHeight="1">
      <c r="A58" s="71" t="s">
        <v>14</v>
      </c>
      <c r="B58" s="6" t="s">
        <v>562</v>
      </c>
      <c r="C58" s="6" t="s">
        <v>563</v>
      </c>
      <c r="D58" s="6" t="s">
        <v>564</v>
      </c>
      <c r="E58" s="7" t="str">
        <f>IFERROR(__xludf.DUMMYFUNCTION("""72."" &amp;+ REGEXEXTRACT(D58, ""\((\d*)\)"")"),"72.057")</f>
        <v>72.057</v>
      </c>
      <c r="F58" s="8" t="s">
        <v>565</v>
      </c>
      <c r="G58" s="6" t="s">
        <v>566</v>
      </c>
      <c r="H58" s="8" t="s">
        <v>567</v>
      </c>
      <c r="I58" s="10"/>
      <c r="J58" s="10"/>
      <c r="K58" s="6" t="s">
        <v>28</v>
      </c>
      <c r="L58" s="6" t="s">
        <v>568</v>
      </c>
      <c r="M58" s="162" t="s">
        <v>28</v>
      </c>
      <c r="N58" s="6" t="s">
        <v>569</v>
      </c>
      <c r="O58" s="9" t="s">
        <v>570</v>
      </c>
    </row>
    <row r="59" ht="22.5" customHeight="1">
      <c r="A59" s="72" t="s">
        <v>14</v>
      </c>
      <c r="B59" s="6" t="s">
        <v>28</v>
      </c>
      <c r="C59" s="6" t="s">
        <v>571</v>
      </c>
      <c r="D59" s="6" t="s">
        <v>572</v>
      </c>
      <c r="E59" s="7" t="str">
        <f>IFERROR(__xludf.DUMMYFUNCTION("""72."" &amp;+ REGEXEXTRACT(D59, ""\((\d*)\)"")"),"72.058")</f>
        <v>72.058</v>
      </c>
      <c r="F59" s="8" t="s">
        <v>573</v>
      </c>
      <c r="G59" s="6" t="s">
        <v>574</v>
      </c>
      <c r="H59" s="8" t="s">
        <v>575</v>
      </c>
      <c r="I59" s="10"/>
      <c r="J59" s="10"/>
      <c r="K59" s="6" t="s">
        <v>28</v>
      </c>
      <c r="L59" s="6" t="s">
        <v>576</v>
      </c>
      <c r="M59" s="162" t="s">
        <v>28</v>
      </c>
      <c r="N59" s="6" t="s">
        <v>577</v>
      </c>
      <c r="O59" s="9" t="s">
        <v>578</v>
      </c>
    </row>
    <row r="60" ht="22.5" customHeight="1">
      <c r="A60" s="73" t="s">
        <v>14</v>
      </c>
      <c r="B60" s="6" t="s">
        <v>28</v>
      </c>
      <c r="C60" s="6" t="s">
        <v>579</v>
      </c>
      <c r="D60" s="6" t="s">
        <v>580</v>
      </c>
      <c r="E60" s="7" t="str">
        <f>IFERROR(__xludf.DUMMYFUNCTION("""72."" &amp;+ REGEXEXTRACT(D60, ""\((\d*)\)"")"),"72.059")</f>
        <v>72.059</v>
      </c>
      <c r="F60" s="8" t="s">
        <v>581</v>
      </c>
      <c r="G60" s="6" t="s">
        <v>582</v>
      </c>
      <c r="H60" s="8" t="s">
        <v>583</v>
      </c>
      <c r="I60" s="10"/>
      <c r="J60" s="10"/>
      <c r="K60" s="6" t="s">
        <v>28</v>
      </c>
      <c r="L60" s="6" t="s">
        <v>584</v>
      </c>
      <c r="M60" s="162" t="s">
        <v>28</v>
      </c>
      <c r="N60" s="6" t="s">
        <v>28</v>
      </c>
      <c r="O60" s="9" t="s">
        <v>585</v>
      </c>
    </row>
    <row r="61" ht="22.5" customHeight="1">
      <c r="A61" s="74" t="s">
        <v>14</v>
      </c>
      <c r="B61" s="6" t="s">
        <v>586</v>
      </c>
      <c r="C61" s="6" t="s">
        <v>587</v>
      </c>
      <c r="D61" s="6" t="s">
        <v>588</v>
      </c>
      <c r="E61" s="7" t="str">
        <f>IFERROR(__xludf.DUMMYFUNCTION("""72."" &amp;+ REGEXEXTRACT(D61, ""\((\d*)\)"")"),"72.060")</f>
        <v>72.060</v>
      </c>
      <c r="F61" s="8" t="s">
        <v>589</v>
      </c>
      <c r="G61" s="6" t="s">
        <v>28</v>
      </c>
      <c r="H61" s="10"/>
      <c r="I61" s="10"/>
      <c r="J61" s="10"/>
      <c r="K61" s="6" t="s">
        <v>28</v>
      </c>
      <c r="L61" s="6" t="s">
        <v>590</v>
      </c>
      <c r="M61" s="162" t="s">
        <v>28</v>
      </c>
      <c r="N61" s="6" t="s">
        <v>591</v>
      </c>
      <c r="O61" s="9" t="s">
        <v>592</v>
      </c>
    </row>
    <row r="62" ht="22.5" customHeight="1">
      <c r="A62" s="75" t="s">
        <v>14</v>
      </c>
      <c r="B62" s="6" t="s">
        <v>593</v>
      </c>
      <c r="C62" s="6" t="s">
        <v>594</v>
      </c>
      <c r="D62" s="6" t="s">
        <v>595</v>
      </c>
      <c r="E62" s="7" t="str">
        <f>IFERROR(__xludf.DUMMYFUNCTION("""72."" &amp;+ REGEXEXTRACT(D62, ""\((\d*)\)"")"),"72.061")</f>
        <v>72.061</v>
      </c>
      <c r="F62" s="8" t="s">
        <v>596</v>
      </c>
      <c r="G62" s="6" t="s">
        <v>597</v>
      </c>
      <c r="H62" s="8" t="s">
        <v>598</v>
      </c>
      <c r="I62" s="8" t="s">
        <v>599</v>
      </c>
      <c r="J62" s="8" t="s">
        <v>600</v>
      </c>
      <c r="K62" s="6" t="s">
        <v>28</v>
      </c>
      <c r="L62" s="6" t="s">
        <v>601</v>
      </c>
      <c r="M62" s="162" t="s">
        <v>28</v>
      </c>
      <c r="N62" s="6" t="s">
        <v>28</v>
      </c>
      <c r="O62" s="9" t="s">
        <v>602</v>
      </c>
    </row>
    <row r="63" ht="22.5" customHeight="1">
      <c r="A63" s="76" t="s">
        <v>14</v>
      </c>
      <c r="B63" s="6" t="s">
        <v>603</v>
      </c>
      <c r="C63" s="6" t="s">
        <v>604</v>
      </c>
      <c r="D63" s="6" t="s">
        <v>605</v>
      </c>
      <c r="E63" s="7" t="str">
        <f>IFERROR(__xludf.DUMMYFUNCTION("""72."" &amp;+ REGEXEXTRACT(D63, ""\((\d*)\)"")"),"72.062")</f>
        <v>72.062</v>
      </c>
      <c r="F63" s="8" t="s">
        <v>606</v>
      </c>
      <c r="G63" s="6" t="s">
        <v>607</v>
      </c>
      <c r="H63" s="8" t="s">
        <v>608</v>
      </c>
      <c r="I63" s="10"/>
      <c r="J63" s="10"/>
      <c r="K63" s="6" t="s">
        <v>28</v>
      </c>
      <c r="L63" s="6" t="s">
        <v>609</v>
      </c>
      <c r="M63" s="162" t="s">
        <v>28</v>
      </c>
      <c r="N63" s="6" t="s">
        <v>28</v>
      </c>
      <c r="O63" s="9" t="s">
        <v>610</v>
      </c>
    </row>
    <row r="64" ht="22.5" customHeight="1">
      <c r="A64" s="77" t="s">
        <v>14</v>
      </c>
      <c r="B64" s="6" t="s">
        <v>611</v>
      </c>
      <c r="C64" s="6" t="s">
        <v>612</v>
      </c>
      <c r="D64" s="6" t="s">
        <v>613</v>
      </c>
      <c r="E64" s="7" t="str">
        <f>IFERROR(__xludf.DUMMYFUNCTION("""72."" &amp;+ REGEXEXTRACT(D64, ""\((\d*)\)"")"),"72.063")</f>
        <v>72.063</v>
      </c>
      <c r="F64" s="8" t="s">
        <v>614</v>
      </c>
      <c r="G64" s="6" t="s">
        <v>615</v>
      </c>
      <c r="H64" s="8" t="s">
        <v>616</v>
      </c>
      <c r="I64" s="8" t="s">
        <v>617</v>
      </c>
      <c r="J64" s="8" t="s">
        <v>618</v>
      </c>
      <c r="K64" s="6" t="s">
        <v>28</v>
      </c>
      <c r="L64" s="6" t="s">
        <v>619</v>
      </c>
      <c r="M64" s="162" t="s">
        <v>28</v>
      </c>
      <c r="N64" s="6" t="s">
        <v>28</v>
      </c>
      <c r="O64" s="9" t="s">
        <v>620</v>
      </c>
    </row>
    <row r="65" ht="22.5" customHeight="1">
      <c r="A65" s="78" t="s">
        <v>14</v>
      </c>
      <c r="B65" s="6" t="s">
        <v>28</v>
      </c>
      <c r="C65" s="6" t="s">
        <v>621</v>
      </c>
      <c r="D65" s="6" t="s">
        <v>622</v>
      </c>
      <c r="E65" s="7" t="str">
        <f>IFERROR(__xludf.DUMMYFUNCTION("""72."" &amp;+ REGEXEXTRACT(D65, ""\((\d*)\)"")"),"72.065")</f>
        <v>72.065</v>
      </c>
      <c r="F65" s="8" t="s">
        <v>623</v>
      </c>
      <c r="G65" s="6" t="s">
        <v>28</v>
      </c>
      <c r="H65" s="10"/>
      <c r="I65" s="10"/>
      <c r="J65" s="10"/>
      <c r="K65" s="6" t="s">
        <v>28</v>
      </c>
      <c r="L65" s="6" t="s">
        <v>624</v>
      </c>
      <c r="M65" s="162" t="s">
        <v>28</v>
      </c>
      <c r="N65" s="6" t="s">
        <v>28</v>
      </c>
      <c r="O65" s="9" t="s">
        <v>625</v>
      </c>
    </row>
    <row r="66" ht="22.5" customHeight="1">
      <c r="A66" s="79" t="s">
        <v>14</v>
      </c>
      <c r="B66" s="6" t="s">
        <v>28</v>
      </c>
      <c r="C66" s="6" t="s">
        <v>626</v>
      </c>
      <c r="D66" s="6" t="s">
        <v>627</v>
      </c>
      <c r="E66" s="7" t="str">
        <f>IFERROR(__xludf.DUMMYFUNCTION("""72."" &amp;+ REGEXEXTRACT(D66, ""\((\d*)\)"")"),"72.066")</f>
        <v>72.066</v>
      </c>
      <c r="F66" s="8" t="s">
        <v>628</v>
      </c>
      <c r="G66" s="6" t="s">
        <v>28</v>
      </c>
      <c r="H66" s="10"/>
      <c r="I66" s="10"/>
      <c r="J66" s="10"/>
      <c r="K66" s="6" t="s">
        <v>28</v>
      </c>
      <c r="L66" s="6" t="s">
        <v>629</v>
      </c>
      <c r="M66" s="162" t="s">
        <v>28</v>
      </c>
      <c r="N66" s="6" t="s">
        <v>28</v>
      </c>
      <c r="O66" s="9" t="s">
        <v>630</v>
      </c>
    </row>
    <row r="67" ht="22.5" customHeight="1">
      <c r="A67" s="80" t="s">
        <v>14</v>
      </c>
      <c r="B67" s="6" t="s">
        <v>631</v>
      </c>
      <c r="C67" s="6" t="s">
        <v>632</v>
      </c>
      <c r="D67" s="6" t="s">
        <v>633</v>
      </c>
      <c r="E67" s="7" t="str">
        <f>IFERROR(__xludf.DUMMYFUNCTION("""72."" &amp;+ REGEXEXTRACT(D67, ""\((\d*)\)"")"),"72.067")</f>
        <v>72.067</v>
      </c>
      <c r="F67" s="8" t="s">
        <v>634</v>
      </c>
      <c r="G67" s="6" t="s">
        <v>635</v>
      </c>
      <c r="H67" s="8" t="s">
        <v>636</v>
      </c>
      <c r="I67" s="8" t="s">
        <v>637</v>
      </c>
      <c r="J67" s="8" t="s">
        <v>638</v>
      </c>
      <c r="K67" s="6" t="s">
        <v>28</v>
      </c>
      <c r="L67" s="6" t="s">
        <v>639</v>
      </c>
      <c r="M67" s="162" t="s">
        <v>28</v>
      </c>
      <c r="N67" s="6" t="s">
        <v>28</v>
      </c>
      <c r="O67" s="9" t="s">
        <v>640</v>
      </c>
    </row>
    <row r="68" ht="22.5" customHeight="1">
      <c r="A68" s="81" t="s">
        <v>14</v>
      </c>
      <c r="B68" s="6" t="s">
        <v>28</v>
      </c>
      <c r="C68" s="6" t="s">
        <v>641</v>
      </c>
      <c r="D68" s="6" t="s">
        <v>642</v>
      </c>
      <c r="E68" s="7" t="str">
        <f>IFERROR(__xludf.DUMMYFUNCTION("""72."" &amp;+ REGEXEXTRACT(D68, ""\((\d*)\)"")"),"72.087")</f>
        <v>72.087</v>
      </c>
      <c r="F68" s="8" t="s">
        <v>643</v>
      </c>
      <c r="G68" s="6" t="s">
        <v>28</v>
      </c>
      <c r="H68" s="10"/>
      <c r="I68" s="10"/>
      <c r="J68" s="10"/>
      <c r="K68" s="6" t="s">
        <v>28</v>
      </c>
      <c r="L68" s="6" t="s">
        <v>28</v>
      </c>
      <c r="M68" s="162" t="s">
        <v>28</v>
      </c>
      <c r="N68" s="6" t="s">
        <v>28</v>
      </c>
      <c r="O68" s="9" t="s">
        <v>644</v>
      </c>
    </row>
    <row r="69" ht="22.5" customHeight="1">
      <c r="A69" s="82" t="s">
        <v>14</v>
      </c>
      <c r="B69" s="6" t="s">
        <v>28</v>
      </c>
      <c r="C69" s="6" t="s">
        <v>645</v>
      </c>
      <c r="D69" s="6" t="s">
        <v>646</v>
      </c>
      <c r="E69" s="7" t="str">
        <f>IFERROR(__xludf.DUMMYFUNCTION("""72."" &amp;+ REGEXEXTRACT(D69, ""\((\d*)\)"")"),"72.089")</f>
        <v>72.089</v>
      </c>
      <c r="F69" s="8" t="s">
        <v>647</v>
      </c>
      <c r="G69" s="6" t="s">
        <v>28</v>
      </c>
      <c r="H69" s="10"/>
      <c r="I69" s="10"/>
      <c r="J69" s="10"/>
      <c r="K69" s="6" t="s">
        <v>28</v>
      </c>
      <c r="L69" s="6" t="s">
        <v>28</v>
      </c>
      <c r="M69" s="162" t="s">
        <v>28</v>
      </c>
      <c r="N69" s="6" t="s">
        <v>28</v>
      </c>
      <c r="O69" s="9" t="s">
        <v>648</v>
      </c>
    </row>
    <row r="70" ht="22.5" customHeight="1">
      <c r="A70" s="83" t="s">
        <v>14</v>
      </c>
      <c r="B70" s="6" t="s">
        <v>28</v>
      </c>
      <c r="C70" s="6" t="s">
        <v>649</v>
      </c>
      <c r="D70" s="6" t="s">
        <v>650</v>
      </c>
      <c r="E70" s="7" t="str">
        <f>IFERROR(__xludf.DUMMYFUNCTION("""72."" &amp;+ REGEXEXTRACT(D70, ""\((\d*)\)"")"),"72.094")</f>
        <v>72.094</v>
      </c>
      <c r="F70" s="8" t="s">
        <v>651</v>
      </c>
      <c r="G70" s="6" t="s">
        <v>28</v>
      </c>
      <c r="H70" s="10"/>
      <c r="I70" s="10"/>
      <c r="J70" s="10"/>
      <c r="K70" s="6" t="s">
        <v>28</v>
      </c>
      <c r="L70" s="6" t="s">
        <v>28</v>
      </c>
      <c r="M70" s="162" t="s">
        <v>28</v>
      </c>
      <c r="N70" s="6" t="s">
        <v>28</v>
      </c>
      <c r="O70" s="9" t="s">
        <v>507</v>
      </c>
    </row>
    <row r="71" ht="22.5" customHeight="1">
      <c r="A71" s="84" t="s">
        <v>14</v>
      </c>
      <c r="B71" s="6" t="s">
        <v>652</v>
      </c>
      <c r="C71" s="6" t="s">
        <v>653</v>
      </c>
      <c r="D71" s="6" t="s">
        <v>654</v>
      </c>
      <c r="E71" s="7" t="str">
        <f>IFERROR(__xludf.DUMMYFUNCTION("""72."" &amp;+ REGEXEXTRACT(D71, ""\((\d*)\)"")"),"72.095")</f>
        <v>72.095</v>
      </c>
      <c r="F71" s="8" t="s">
        <v>655</v>
      </c>
      <c r="G71" s="6" t="s">
        <v>656</v>
      </c>
      <c r="H71" s="8" t="s">
        <v>657</v>
      </c>
      <c r="I71" s="8" t="s">
        <v>658</v>
      </c>
      <c r="J71" s="8" t="s">
        <v>659</v>
      </c>
      <c r="K71" s="6" t="s">
        <v>660</v>
      </c>
      <c r="L71" s="6" t="s">
        <v>28</v>
      </c>
      <c r="M71" s="162" t="s">
        <v>28</v>
      </c>
      <c r="N71" s="6" t="s">
        <v>28</v>
      </c>
      <c r="O71" s="9" t="s">
        <v>661</v>
      </c>
    </row>
    <row r="72" ht="22.5" customHeight="1">
      <c r="A72" s="85" t="s">
        <v>14</v>
      </c>
      <c r="B72" s="6" t="s">
        <v>662</v>
      </c>
      <c r="C72" s="6" t="s">
        <v>663</v>
      </c>
      <c r="D72" s="6" t="s">
        <v>664</v>
      </c>
      <c r="E72" s="7" t="str">
        <f>IFERROR(__xludf.DUMMYFUNCTION("""72."" &amp;+ REGEXEXTRACT(D72, ""\((\d*)\)"")"),"72.140")</f>
        <v>72.140</v>
      </c>
      <c r="F72" s="8" t="s">
        <v>665</v>
      </c>
      <c r="G72" s="6" t="s">
        <v>392</v>
      </c>
      <c r="H72" s="8" t="s">
        <v>393</v>
      </c>
      <c r="I72" s="10"/>
      <c r="J72" s="10"/>
      <c r="K72" s="6" t="s">
        <v>28</v>
      </c>
      <c r="L72" s="6" t="s">
        <v>666</v>
      </c>
      <c r="M72" s="162" t="s">
        <v>28</v>
      </c>
      <c r="N72" s="6" t="s">
        <v>28</v>
      </c>
      <c r="O72" s="9" t="s">
        <v>667</v>
      </c>
    </row>
    <row r="73" ht="22.5" customHeight="1">
      <c r="A73" s="86" t="s">
        <v>14</v>
      </c>
      <c r="B73" s="6" t="s">
        <v>668</v>
      </c>
      <c r="C73" s="6" t="s">
        <v>669</v>
      </c>
      <c r="D73" s="6" t="s">
        <v>670</v>
      </c>
      <c r="E73" s="7" t="str">
        <f>IFERROR(__xludf.DUMMYFUNCTION("""72."" &amp;+ REGEXEXTRACT(D73, ""\((\d*)\)"")"),"72.141")</f>
        <v>72.141</v>
      </c>
      <c r="F73" s="8" t="s">
        <v>671</v>
      </c>
      <c r="G73" s="6" t="s">
        <v>672</v>
      </c>
      <c r="H73" s="8" t="s">
        <v>673</v>
      </c>
      <c r="I73" s="10"/>
      <c r="J73" s="10"/>
      <c r="K73" s="6" t="s">
        <v>28</v>
      </c>
      <c r="L73" s="6" t="s">
        <v>624</v>
      </c>
      <c r="M73" s="162" t="s">
        <v>28</v>
      </c>
      <c r="N73" s="6" t="s">
        <v>28</v>
      </c>
      <c r="O73" s="9" t="s">
        <v>674</v>
      </c>
    </row>
    <row r="74" ht="22.5" customHeight="1">
      <c r="A74" s="87"/>
      <c r="B74" s="6" t="s">
        <v>675</v>
      </c>
      <c r="C74" s="6" t="s">
        <v>676</v>
      </c>
      <c r="D74" s="6" t="s">
        <v>677</v>
      </c>
      <c r="E74" s="7" t="str">
        <f>IFERROR(__xludf.DUMMYFUNCTION("""72."" &amp;+ REGEXEXTRACT(D74, ""\((\d*)\)"")"),"72.142")</f>
        <v>72.142</v>
      </c>
      <c r="F74" s="8" t="s">
        <v>678</v>
      </c>
      <c r="G74" s="6" t="s">
        <v>679</v>
      </c>
      <c r="H74" s="8" t="s">
        <v>177</v>
      </c>
      <c r="I74" s="10"/>
      <c r="J74" s="10"/>
      <c r="K74" s="6" t="s">
        <v>28</v>
      </c>
      <c r="L74" s="6" t="s">
        <v>680</v>
      </c>
      <c r="M74" s="162" t="s">
        <v>28</v>
      </c>
      <c r="N74" s="6" t="s">
        <v>28</v>
      </c>
      <c r="O74" s="9" t="s">
        <v>681</v>
      </c>
    </row>
    <row r="75" ht="22.5" customHeight="1">
      <c r="A75" s="88" t="s">
        <v>14</v>
      </c>
      <c r="B75" s="6" t="s">
        <v>682</v>
      </c>
      <c r="C75" s="6" t="s">
        <v>683</v>
      </c>
      <c r="D75" s="6" t="s">
        <v>684</v>
      </c>
      <c r="E75" s="7" t="str">
        <f>IFERROR(__xludf.DUMMYFUNCTION("""72."" &amp;+ REGEXEXTRACT(D75, ""\((\d*)\)"")"),"72.143")</f>
        <v>72.143</v>
      </c>
      <c r="F75" s="8" t="s">
        <v>685</v>
      </c>
      <c r="G75" s="6" t="s">
        <v>686</v>
      </c>
      <c r="H75" s="8" t="s">
        <v>687</v>
      </c>
      <c r="I75" s="10"/>
      <c r="J75" s="10"/>
      <c r="K75" s="6" t="s">
        <v>28</v>
      </c>
      <c r="L75" s="6" t="s">
        <v>688</v>
      </c>
      <c r="M75" s="162" t="s">
        <v>28</v>
      </c>
      <c r="N75" s="6" t="s">
        <v>28</v>
      </c>
      <c r="O75" s="9" t="s">
        <v>689</v>
      </c>
    </row>
    <row r="76" ht="22.5" customHeight="1">
      <c r="A76" s="89" t="s">
        <v>14</v>
      </c>
      <c r="B76" s="6" t="s">
        <v>690</v>
      </c>
      <c r="C76" s="6" t="s">
        <v>691</v>
      </c>
      <c r="D76" s="6" t="s">
        <v>692</v>
      </c>
      <c r="E76" s="7" t="str">
        <f>IFERROR(__xludf.DUMMYFUNCTION("""72."" &amp;+ REGEXEXTRACT(D76, ""\((\d*)\)"")"),"72.144")</f>
        <v>72.144</v>
      </c>
      <c r="F76" s="8" t="s">
        <v>693</v>
      </c>
      <c r="G76" s="6" t="s">
        <v>694</v>
      </c>
      <c r="H76" s="8" t="s">
        <v>695</v>
      </c>
      <c r="I76" s="10"/>
      <c r="J76" s="10"/>
      <c r="K76" s="6" t="s">
        <v>28</v>
      </c>
      <c r="L76" s="6" t="s">
        <v>482</v>
      </c>
      <c r="M76" s="162" t="s">
        <v>28</v>
      </c>
      <c r="N76" s="6" t="s">
        <v>28</v>
      </c>
      <c r="O76" s="9" t="s">
        <v>696</v>
      </c>
    </row>
    <row r="77" ht="22.5" customHeight="1">
      <c r="A77" s="90" t="s">
        <v>14</v>
      </c>
      <c r="B77" s="6" t="s">
        <v>697</v>
      </c>
      <c r="C77" s="6" t="s">
        <v>698</v>
      </c>
      <c r="D77" s="6" t="s">
        <v>699</v>
      </c>
      <c r="E77" s="7" t="str">
        <f>IFERROR(__xludf.DUMMYFUNCTION("""72."" &amp;+ REGEXEXTRACT(D77, ""\((\d*)\)"")"),"72.145")</f>
        <v>72.145</v>
      </c>
      <c r="F77" s="8" t="s">
        <v>700</v>
      </c>
      <c r="G77" s="6" t="s">
        <v>701</v>
      </c>
      <c r="H77" s="8" t="s">
        <v>702</v>
      </c>
      <c r="I77" s="10"/>
      <c r="J77" s="10"/>
      <c r="K77" s="6" t="s">
        <v>28</v>
      </c>
      <c r="L77" s="6" t="s">
        <v>703</v>
      </c>
      <c r="M77" s="162" t="s">
        <v>28</v>
      </c>
      <c r="N77" s="6" t="s">
        <v>28</v>
      </c>
      <c r="O77" s="9" t="s">
        <v>704</v>
      </c>
    </row>
    <row r="78" ht="22.5" customHeight="1">
      <c r="A78" s="91" t="s">
        <v>14</v>
      </c>
      <c r="B78" s="6" t="s">
        <v>705</v>
      </c>
      <c r="C78" s="6" t="s">
        <v>706</v>
      </c>
      <c r="D78" s="6" t="s">
        <v>707</v>
      </c>
      <c r="E78" s="7" t="str">
        <f>IFERROR(__xludf.DUMMYFUNCTION("""72."" &amp;+ REGEXEXTRACT(D78, ""\((\d*)\)"")"),"72.146")</f>
        <v>72.146</v>
      </c>
      <c r="F78" s="8" t="s">
        <v>708</v>
      </c>
      <c r="G78" s="6" t="s">
        <v>709</v>
      </c>
      <c r="H78" s="8" t="s">
        <v>710</v>
      </c>
      <c r="I78" s="8" t="s">
        <v>711</v>
      </c>
      <c r="J78" s="8" t="s">
        <v>712</v>
      </c>
      <c r="K78" s="6" t="s">
        <v>28</v>
      </c>
      <c r="L78" s="6" t="s">
        <v>713</v>
      </c>
      <c r="M78" s="162" t="s">
        <v>28</v>
      </c>
      <c r="N78" s="6" t="s">
        <v>28</v>
      </c>
      <c r="O78" s="9" t="s">
        <v>714</v>
      </c>
    </row>
    <row r="79" ht="22.5" customHeight="1">
      <c r="A79" s="92" t="s">
        <v>14</v>
      </c>
      <c r="B79" s="6" t="s">
        <v>268</v>
      </c>
      <c r="C79" s="6" t="s">
        <v>715</v>
      </c>
      <c r="D79" s="6" t="s">
        <v>716</v>
      </c>
      <c r="E79" s="7" t="str">
        <f>IFERROR(__xludf.DUMMYFUNCTION("""72."" &amp;+ REGEXEXTRACT(D79, ""\((\d*)\)"")"),"72.147")</f>
        <v>72.147</v>
      </c>
      <c r="F79" s="8" t="s">
        <v>717</v>
      </c>
      <c r="G79" s="6" t="s">
        <v>718</v>
      </c>
      <c r="H79" s="8" t="s">
        <v>719</v>
      </c>
      <c r="I79" s="10"/>
      <c r="J79" s="10"/>
      <c r="K79" s="6" t="s">
        <v>28</v>
      </c>
      <c r="L79" s="6" t="s">
        <v>720</v>
      </c>
      <c r="M79" s="162" t="s">
        <v>28</v>
      </c>
      <c r="N79" s="6" t="s">
        <v>28</v>
      </c>
      <c r="O79" s="9" t="s">
        <v>721</v>
      </c>
    </row>
    <row r="80" ht="22.5" customHeight="1">
      <c r="A80" s="93" t="s">
        <v>14</v>
      </c>
      <c r="B80" s="6" t="s">
        <v>722</v>
      </c>
      <c r="C80" s="6" t="s">
        <v>723</v>
      </c>
      <c r="D80" s="6" t="s">
        <v>724</v>
      </c>
      <c r="E80" s="7" t="str">
        <f>IFERROR(__xludf.DUMMYFUNCTION("""72."" &amp;+ REGEXEXTRACT(D80, ""\((\d*)\)"")"),"72.148")</f>
        <v>72.148</v>
      </c>
      <c r="F80" s="8" t="s">
        <v>725</v>
      </c>
      <c r="G80" s="6" t="s">
        <v>28</v>
      </c>
      <c r="H80" s="10"/>
      <c r="I80" s="10"/>
      <c r="J80" s="10"/>
      <c r="K80" s="6" t="s">
        <v>28</v>
      </c>
      <c r="L80" s="6" t="s">
        <v>726</v>
      </c>
      <c r="M80" s="162" t="s">
        <v>28</v>
      </c>
      <c r="N80" s="6" t="s">
        <v>28</v>
      </c>
      <c r="O80" s="9" t="s">
        <v>727</v>
      </c>
    </row>
    <row r="81" ht="22.5" customHeight="1">
      <c r="A81" s="94" t="s">
        <v>14</v>
      </c>
      <c r="B81" s="6" t="s">
        <v>728</v>
      </c>
      <c r="C81" s="6" t="s">
        <v>729</v>
      </c>
      <c r="D81" s="6" t="s">
        <v>730</v>
      </c>
      <c r="E81" s="7" t="str">
        <f>IFERROR(__xludf.DUMMYFUNCTION("""72."" &amp;+ REGEXEXTRACT(D81, ""\((\d*)\)"")"),"72.149")</f>
        <v>72.149</v>
      </c>
      <c r="F81" s="8" t="s">
        <v>731</v>
      </c>
      <c r="G81" s="6" t="s">
        <v>732</v>
      </c>
      <c r="H81" s="8" t="s">
        <v>733</v>
      </c>
      <c r="I81" s="10"/>
      <c r="J81" s="10"/>
      <c r="K81" s="6" t="s">
        <v>28</v>
      </c>
      <c r="M81" s="162" t="s">
        <v>28</v>
      </c>
      <c r="N81" s="6" t="s">
        <v>28</v>
      </c>
      <c r="O81" s="9" t="s">
        <v>734</v>
      </c>
    </row>
    <row r="82" ht="22.5" customHeight="1">
      <c r="A82" s="96" t="s">
        <v>14</v>
      </c>
      <c r="B82" s="6" t="s">
        <v>388</v>
      </c>
      <c r="C82" s="6" t="s">
        <v>735</v>
      </c>
      <c r="D82" s="6" t="s">
        <v>736</v>
      </c>
      <c r="E82" s="7" t="str">
        <f>IFERROR(__xludf.DUMMYFUNCTION("""72."" &amp;+ REGEXEXTRACT(D82, ""\((\d*)\)"")"),"72.150")</f>
        <v>72.150</v>
      </c>
      <c r="F82" s="8" t="s">
        <v>737</v>
      </c>
      <c r="G82" s="6" t="s">
        <v>738</v>
      </c>
      <c r="H82" s="8" t="s">
        <v>739</v>
      </c>
      <c r="I82" s="10"/>
      <c r="J82" s="10"/>
      <c r="K82" s="6" t="s">
        <v>28</v>
      </c>
      <c r="L82" s="6" t="s">
        <v>740</v>
      </c>
      <c r="M82" s="162" t="s">
        <v>28</v>
      </c>
      <c r="N82" s="6" t="s">
        <v>28</v>
      </c>
      <c r="O82" s="9" t="s">
        <v>741</v>
      </c>
    </row>
    <row r="83" ht="22.5" customHeight="1">
      <c r="A83" s="46" t="s">
        <v>14</v>
      </c>
      <c r="B83" s="6" t="s">
        <v>742</v>
      </c>
      <c r="C83" s="6" t="s">
        <v>743</v>
      </c>
      <c r="D83" s="6" t="s">
        <v>744</v>
      </c>
      <c r="E83" s="7" t="str">
        <f>IFERROR(__xludf.DUMMYFUNCTION("""72."" &amp;+ REGEXEXTRACT(D83, ""\((\d*)\)"")"),"72.151")</f>
        <v>72.151</v>
      </c>
      <c r="F83" s="8" t="s">
        <v>745</v>
      </c>
      <c r="G83" s="6" t="s">
        <v>746</v>
      </c>
      <c r="H83" s="8" t="s">
        <v>372</v>
      </c>
      <c r="I83" s="8" t="s">
        <v>373</v>
      </c>
      <c r="J83" s="8" t="s">
        <v>374</v>
      </c>
      <c r="K83" s="6" t="s">
        <v>28</v>
      </c>
      <c r="L83" s="6" t="s">
        <v>747</v>
      </c>
      <c r="M83" s="162" t="s">
        <v>28</v>
      </c>
      <c r="N83" s="6" t="s">
        <v>28</v>
      </c>
      <c r="O83" s="9" t="s">
        <v>748</v>
      </c>
    </row>
    <row r="84" ht="22.5" customHeight="1">
      <c r="A84" s="97" t="s">
        <v>14</v>
      </c>
      <c r="B84" s="6" t="s">
        <v>749</v>
      </c>
      <c r="C84" s="6" t="s">
        <v>750</v>
      </c>
      <c r="D84" s="6" t="s">
        <v>751</v>
      </c>
      <c r="E84" s="7" t="str">
        <f>IFERROR(__xludf.DUMMYFUNCTION("""72."" &amp;+ REGEXEXTRACT(D84, ""\((\d*)\)"")"),"72.152")</f>
        <v>72.152</v>
      </c>
      <c r="F84" s="8" t="s">
        <v>752</v>
      </c>
      <c r="G84" s="6" t="s">
        <v>753</v>
      </c>
      <c r="H84" s="8" t="s">
        <v>754</v>
      </c>
      <c r="I84" s="10"/>
      <c r="J84" s="10"/>
      <c r="K84" s="6" t="s">
        <v>28</v>
      </c>
      <c r="L84" s="6" t="s">
        <v>103</v>
      </c>
      <c r="M84" s="162" t="s">
        <v>28</v>
      </c>
      <c r="N84" s="6" t="s">
        <v>28</v>
      </c>
      <c r="O84" s="9" t="s">
        <v>755</v>
      </c>
    </row>
    <row r="85" ht="22.5" customHeight="1">
      <c r="A85" s="98" t="s">
        <v>14</v>
      </c>
      <c r="B85" s="6" t="s">
        <v>756</v>
      </c>
      <c r="C85" s="6" t="s">
        <v>757</v>
      </c>
      <c r="D85" s="6" t="s">
        <v>758</v>
      </c>
      <c r="E85" s="7" t="str">
        <f>IFERROR(__xludf.DUMMYFUNCTION("""72."" &amp;+ REGEXEXTRACT(D85, ""\((\d*)\)"")"),"72.153")</f>
        <v>72.153</v>
      </c>
      <c r="F85" s="8" t="s">
        <v>759</v>
      </c>
      <c r="G85" s="6" t="s">
        <v>760</v>
      </c>
      <c r="H85" s="8" t="s">
        <v>761</v>
      </c>
      <c r="I85" s="8" t="s">
        <v>762</v>
      </c>
      <c r="J85" s="8" t="s">
        <v>763</v>
      </c>
      <c r="K85" s="6" t="s">
        <v>28</v>
      </c>
      <c r="L85" s="6" t="s">
        <v>764</v>
      </c>
      <c r="M85" s="162" t="s">
        <v>28</v>
      </c>
      <c r="N85" s="6" t="s">
        <v>28</v>
      </c>
      <c r="O85" s="99" t="s">
        <v>765</v>
      </c>
    </row>
    <row r="86" ht="22.5" customHeight="1">
      <c r="A86" s="100"/>
      <c r="B86" s="6" t="s">
        <v>417</v>
      </c>
      <c r="C86" s="6" t="s">
        <v>766</v>
      </c>
      <c r="D86" s="6" t="s">
        <v>767</v>
      </c>
      <c r="E86" s="7" t="str">
        <f>IFERROR(__xludf.DUMMYFUNCTION("""72."" &amp;+ REGEXEXTRACT(D86, ""\((\d*)\)"")"),"72.154")</f>
        <v>72.154</v>
      </c>
      <c r="F86" s="8" t="s">
        <v>768</v>
      </c>
      <c r="G86" s="6" t="s">
        <v>421</v>
      </c>
      <c r="H86" s="8" t="s">
        <v>422</v>
      </c>
      <c r="I86" s="8" t="s">
        <v>423</v>
      </c>
      <c r="J86" s="8" t="s">
        <v>424</v>
      </c>
      <c r="K86" s="6" t="s">
        <v>28</v>
      </c>
      <c r="L86" s="6" t="s">
        <v>769</v>
      </c>
      <c r="M86" s="162" t="s">
        <v>28</v>
      </c>
      <c r="N86" s="6" t="s">
        <v>28</v>
      </c>
      <c r="O86" s="9" t="s">
        <v>770</v>
      </c>
    </row>
    <row r="87" ht="22.5" customHeight="1">
      <c r="A87" s="101" t="s">
        <v>14</v>
      </c>
      <c r="B87" s="6" t="s">
        <v>771</v>
      </c>
      <c r="C87" s="6" t="s">
        <v>772</v>
      </c>
      <c r="D87" s="6" t="s">
        <v>773</v>
      </c>
      <c r="E87" s="7" t="str">
        <f>IFERROR(__xludf.DUMMYFUNCTION("""72."" &amp;+ REGEXEXTRACT(D87, ""\((\d*)\)"")"),"72.155")</f>
        <v>72.155</v>
      </c>
      <c r="F87" s="8" t="s">
        <v>774</v>
      </c>
      <c r="G87" s="6" t="s">
        <v>775</v>
      </c>
      <c r="H87" s="8" t="s">
        <v>776</v>
      </c>
      <c r="I87" s="10"/>
      <c r="J87" s="10"/>
      <c r="K87" s="6" t="s">
        <v>28</v>
      </c>
      <c r="L87" s="6" t="s">
        <v>777</v>
      </c>
      <c r="M87" s="162" t="s">
        <v>28</v>
      </c>
      <c r="N87" s="6" t="s">
        <v>28</v>
      </c>
      <c r="O87" s="9" t="s">
        <v>778</v>
      </c>
    </row>
    <row r="88" ht="22.5" customHeight="1">
      <c r="A88" s="102" t="s">
        <v>14</v>
      </c>
      <c r="B88" s="6" t="s">
        <v>779</v>
      </c>
      <c r="C88" s="6" t="s">
        <v>780</v>
      </c>
      <c r="D88" s="6" t="s">
        <v>781</v>
      </c>
      <c r="E88" s="103" t="s">
        <v>782</v>
      </c>
      <c r="F88" s="104" t="s">
        <v>782</v>
      </c>
      <c r="G88" s="6" t="s">
        <v>28</v>
      </c>
      <c r="H88" s="10"/>
      <c r="I88" s="10"/>
      <c r="J88" s="10"/>
      <c r="K88" s="6" t="s">
        <v>28</v>
      </c>
      <c r="L88" s="6" t="s">
        <v>28</v>
      </c>
      <c r="M88" s="162" t="s">
        <v>28</v>
      </c>
      <c r="N88" s="6" t="s">
        <v>28</v>
      </c>
      <c r="O88" s="9" t="s">
        <v>416</v>
      </c>
    </row>
    <row r="89" ht="22.5" customHeight="1">
      <c r="A89" s="6" t="s">
        <v>14</v>
      </c>
      <c r="B89" s="6" t="s">
        <v>783</v>
      </c>
      <c r="C89" s="6" t="s">
        <v>784</v>
      </c>
      <c r="D89" s="6" t="s">
        <v>785</v>
      </c>
      <c r="E89" s="103" t="s">
        <v>786</v>
      </c>
      <c r="F89" s="104" t="s">
        <v>786</v>
      </c>
      <c r="G89" s="6" t="s">
        <v>28</v>
      </c>
      <c r="H89" s="10"/>
      <c r="I89" s="10"/>
      <c r="J89" s="10"/>
      <c r="K89" s="6" t="s">
        <v>28</v>
      </c>
      <c r="L89" s="6" t="s">
        <v>28</v>
      </c>
      <c r="M89" s="162" t="s">
        <v>28</v>
      </c>
      <c r="N89" s="6" t="s">
        <v>28</v>
      </c>
      <c r="O89" s="9" t="s">
        <v>507</v>
      </c>
    </row>
    <row r="90" ht="22.5" customHeight="1">
      <c r="A90" s="6" t="s">
        <v>14</v>
      </c>
      <c r="B90" s="6" t="s">
        <v>787</v>
      </c>
      <c r="C90" s="6" t="s">
        <v>788</v>
      </c>
      <c r="D90" s="6" t="s">
        <v>789</v>
      </c>
      <c r="E90" s="103" t="s">
        <v>790</v>
      </c>
      <c r="F90" s="104" t="s">
        <v>790</v>
      </c>
      <c r="G90" s="6" t="s">
        <v>28</v>
      </c>
      <c r="H90" s="10"/>
      <c r="I90" s="10"/>
      <c r="J90" s="10"/>
      <c r="K90" s="6" t="s">
        <v>28</v>
      </c>
      <c r="L90" s="6" t="s">
        <v>28</v>
      </c>
      <c r="M90" s="162" t="s">
        <v>28</v>
      </c>
      <c r="N90" s="6" t="s">
        <v>28</v>
      </c>
      <c r="O90" s="9" t="s">
        <v>791</v>
      </c>
    </row>
    <row r="91" ht="22.5" customHeight="1">
      <c r="A91" s="105" t="s">
        <v>14</v>
      </c>
      <c r="B91" s="6" t="s">
        <v>792</v>
      </c>
      <c r="C91" s="6" t="s">
        <v>793</v>
      </c>
      <c r="D91" s="6" t="s">
        <v>794</v>
      </c>
      <c r="E91" s="103" t="s">
        <v>795</v>
      </c>
      <c r="F91" s="104" t="s">
        <v>795</v>
      </c>
      <c r="G91" s="6" t="s">
        <v>28</v>
      </c>
      <c r="H91" s="10"/>
      <c r="I91" s="10"/>
      <c r="J91" s="10"/>
      <c r="K91" s="6" t="s">
        <v>28</v>
      </c>
      <c r="L91" s="6" t="s">
        <v>28</v>
      </c>
      <c r="M91" s="162" t="s">
        <v>28</v>
      </c>
      <c r="N91" s="6" t="s">
        <v>28</v>
      </c>
      <c r="O91" s="9" t="s">
        <v>592</v>
      </c>
    </row>
    <row r="92" ht="22.5" customHeight="1">
      <c r="A92" s="6" t="s">
        <v>14</v>
      </c>
      <c r="B92" s="6" t="s">
        <v>796</v>
      </c>
      <c r="C92" s="6" t="s">
        <v>797</v>
      </c>
      <c r="D92" s="6" t="s">
        <v>798</v>
      </c>
      <c r="E92" s="103" t="s">
        <v>799</v>
      </c>
      <c r="F92" s="104" t="s">
        <v>799</v>
      </c>
      <c r="G92" s="6" t="s">
        <v>28</v>
      </c>
      <c r="H92" s="10"/>
      <c r="I92" s="10"/>
      <c r="J92" s="10"/>
      <c r="K92" s="6" t="s">
        <v>28</v>
      </c>
      <c r="L92" s="6" t="s">
        <v>28</v>
      </c>
      <c r="M92" s="162" t="s">
        <v>28</v>
      </c>
      <c r="N92" s="6" t="s">
        <v>28</v>
      </c>
      <c r="O92" s="9" t="s">
        <v>800</v>
      </c>
    </row>
    <row r="93" ht="22.5" customHeight="1">
      <c r="A93" s="91" t="s">
        <v>14</v>
      </c>
      <c r="B93" s="6" t="s">
        <v>801</v>
      </c>
      <c r="C93" s="6" t="s">
        <v>802</v>
      </c>
      <c r="D93" s="6" t="s">
        <v>803</v>
      </c>
      <c r="E93" s="103" t="s">
        <v>804</v>
      </c>
      <c r="F93" s="104" t="s">
        <v>804</v>
      </c>
      <c r="G93" s="6" t="s">
        <v>28</v>
      </c>
      <c r="H93" s="10"/>
      <c r="I93" s="10"/>
      <c r="J93" s="10"/>
      <c r="K93" s="6" t="s">
        <v>28</v>
      </c>
      <c r="L93" s="6" t="s">
        <v>28</v>
      </c>
      <c r="M93" s="162" t="s">
        <v>28</v>
      </c>
      <c r="N93" s="6" t="s">
        <v>28</v>
      </c>
      <c r="O93" s="9" t="s">
        <v>805</v>
      </c>
    </row>
    <row r="94" ht="22.5" customHeight="1">
      <c r="A94" s="52" t="s">
        <v>14</v>
      </c>
      <c r="B94" s="6" t="s">
        <v>806</v>
      </c>
      <c r="C94" s="6" t="s">
        <v>807</v>
      </c>
      <c r="D94" s="6" t="s">
        <v>808</v>
      </c>
      <c r="E94" s="103" t="s">
        <v>809</v>
      </c>
      <c r="F94" s="104" t="s">
        <v>809</v>
      </c>
      <c r="G94" s="6" t="s">
        <v>28</v>
      </c>
      <c r="H94" s="10"/>
      <c r="I94" s="10"/>
      <c r="J94" s="10"/>
      <c r="K94" s="6" t="s">
        <v>28</v>
      </c>
      <c r="L94" s="6" t="s">
        <v>28</v>
      </c>
      <c r="M94" s="162" t="s">
        <v>28</v>
      </c>
      <c r="N94" s="6" t="s">
        <v>28</v>
      </c>
      <c r="O94" s="9" t="s">
        <v>437</v>
      </c>
    </row>
    <row r="95" ht="22.5" customHeight="1">
      <c r="A95" s="106" t="s">
        <v>14</v>
      </c>
      <c r="B95" s="6" t="s">
        <v>810</v>
      </c>
      <c r="C95" s="6" t="s">
        <v>811</v>
      </c>
      <c r="D95" s="6" t="s">
        <v>812</v>
      </c>
      <c r="E95" s="103" t="s">
        <v>813</v>
      </c>
      <c r="F95" s="104" t="s">
        <v>813</v>
      </c>
      <c r="G95" s="6" t="s">
        <v>28</v>
      </c>
      <c r="H95" s="10"/>
      <c r="I95" s="10"/>
      <c r="J95" s="10"/>
      <c r="K95" s="6" t="s">
        <v>28</v>
      </c>
      <c r="L95" s="6" t="s">
        <v>28</v>
      </c>
      <c r="M95" s="162" t="s">
        <v>28</v>
      </c>
      <c r="N95" s="6" t="s">
        <v>28</v>
      </c>
      <c r="O95" s="9" t="s">
        <v>814</v>
      </c>
    </row>
    <row r="96" ht="22.5" customHeight="1">
      <c r="A96" s="107"/>
      <c r="F96" s="10"/>
      <c r="G96" s="6" t="s">
        <v>815</v>
      </c>
      <c r="H96" s="8" t="s">
        <v>816</v>
      </c>
      <c r="I96" s="10"/>
      <c r="J96" s="10"/>
      <c r="M96" s="158"/>
      <c r="O96" s="57"/>
    </row>
    <row r="97" ht="22.5" customHeight="1">
      <c r="A97" s="108"/>
      <c r="F97" s="10"/>
      <c r="G97" s="6" t="s">
        <v>817</v>
      </c>
      <c r="H97" s="8" t="s">
        <v>818</v>
      </c>
      <c r="I97" s="10"/>
      <c r="J97" s="10"/>
      <c r="M97" s="158"/>
      <c r="O97" s="57"/>
    </row>
    <row r="98" ht="22.5" customHeight="1">
      <c r="A98" s="109"/>
      <c r="F98" s="10"/>
      <c r="G98" s="6" t="s">
        <v>821</v>
      </c>
      <c r="H98" s="8" t="s">
        <v>822</v>
      </c>
      <c r="I98" s="10"/>
      <c r="J98" s="10"/>
      <c r="M98" s="158"/>
      <c r="O98" s="57"/>
    </row>
    <row r="99" ht="22.5" customHeight="1">
      <c r="A99" s="110"/>
      <c r="F99" s="10"/>
      <c r="G99" s="6" t="s">
        <v>823</v>
      </c>
      <c r="H99" s="8" t="s">
        <v>824</v>
      </c>
      <c r="I99" s="10"/>
      <c r="J99" s="10"/>
      <c r="M99" s="158"/>
      <c r="O99" s="57"/>
    </row>
    <row r="100" ht="22.5" customHeight="1">
      <c r="F100" s="10"/>
      <c r="H100" s="8" t="s">
        <v>825</v>
      </c>
      <c r="I100" s="10"/>
      <c r="J100" s="10"/>
      <c r="M100" s="158"/>
      <c r="O100" s="57"/>
    </row>
    <row r="101" ht="22.5" customHeight="1">
      <c r="A101" s="111"/>
      <c r="F101" s="10"/>
      <c r="G101" s="6" t="s">
        <v>826</v>
      </c>
      <c r="H101" s="8" t="s">
        <v>827</v>
      </c>
      <c r="I101" s="10"/>
      <c r="J101" s="10"/>
      <c r="M101" s="158"/>
      <c r="O101" s="57"/>
    </row>
    <row r="102" ht="22.5" customHeight="1">
      <c r="A102" s="112"/>
      <c r="F102" s="10"/>
      <c r="G102" s="6" t="s">
        <v>828</v>
      </c>
      <c r="H102" s="8" t="s">
        <v>829</v>
      </c>
      <c r="I102" s="10"/>
      <c r="J102" s="10"/>
      <c r="M102" s="158"/>
      <c r="O102" s="57"/>
    </row>
    <row r="103" ht="22.5" customHeight="1">
      <c r="A103" s="113"/>
      <c r="F103" s="10"/>
      <c r="G103" s="6" t="s">
        <v>830</v>
      </c>
      <c r="H103" s="8" t="s">
        <v>831</v>
      </c>
      <c r="I103" s="8" t="s">
        <v>832</v>
      </c>
      <c r="J103" s="8" t="s">
        <v>833</v>
      </c>
      <c r="M103" s="158"/>
      <c r="O103" s="57"/>
    </row>
    <row r="104" ht="22.5" customHeight="1">
      <c r="A104" s="114"/>
      <c r="F104" s="10"/>
      <c r="G104" s="6" t="s">
        <v>834</v>
      </c>
      <c r="H104" s="8" t="s">
        <v>835</v>
      </c>
      <c r="I104" s="10"/>
      <c r="J104" s="10"/>
      <c r="M104" s="158"/>
      <c r="O104" s="57"/>
    </row>
    <row r="105" ht="22.5" customHeight="1">
      <c r="A105" s="115"/>
      <c r="F105" s="10"/>
      <c r="G105" s="6" t="s">
        <v>836</v>
      </c>
      <c r="H105" s="8" t="s">
        <v>837</v>
      </c>
      <c r="I105" s="8" t="s">
        <v>838</v>
      </c>
      <c r="J105" s="8" t="s">
        <v>839</v>
      </c>
      <c r="M105" s="158"/>
      <c r="O105" s="57"/>
    </row>
    <row r="106" ht="22.5" customHeight="1">
      <c r="A106" s="116"/>
      <c r="F106" s="10"/>
      <c r="G106" s="6" t="s">
        <v>840</v>
      </c>
      <c r="H106" s="8" t="s">
        <v>841</v>
      </c>
      <c r="I106" s="10"/>
      <c r="J106" s="10"/>
      <c r="M106" s="158"/>
      <c r="O106" s="57"/>
    </row>
    <row r="107" ht="22.5" customHeight="1">
      <c r="A107" s="117"/>
      <c r="F107" s="10"/>
      <c r="H107" s="8" t="s">
        <v>842</v>
      </c>
      <c r="I107" s="10"/>
      <c r="J107" s="10"/>
      <c r="M107" s="158"/>
      <c r="O107" s="57"/>
    </row>
    <row r="108" ht="22.5" customHeight="1">
      <c r="A108" s="118"/>
      <c r="F108" s="10"/>
      <c r="H108" s="8" t="s">
        <v>843</v>
      </c>
      <c r="I108" s="10"/>
      <c r="J108" s="10"/>
      <c r="M108" s="158"/>
      <c r="O108" s="57"/>
    </row>
    <row r="109" ht="22.5" customHeight="1">
      <c r="A109" s="119"/>
      <c r="F109" s="10"/>
      <c r="H109" s="8" t="s">
        <v>844</v>
      </c>
      <c r="I109" s="8" t="s">
        <v>845</v>
      </c>
      <c r="J109" s="8" t="s">
        <v>846</v>
      </c>
      <c r="M109" s="158"/>
      <c r="O109" s="57"/>
    </row>
    <row r="110" ht="22.5" customHeight="1">
      <c r="A110" s="120"/>
      <c r="F110" s="10"/>
      <c r="G110" s="6" t="s">
        <v>847</v>
      </c>
      <c r="H110" s="8" t="s">
        <v>848</v>
      </c>
      <c r="I110" s="10"/>
      <c r="J110" s="10"/>
      <c r="M110" s="158"/>
      <c r="O110" s="57"/>
    </row>
    <row r="111" ht="22.5" customHeight="1">
      <c r="A111" s="121"/>
      <c r="F111" s="10"/>
      <c r="G111" s="6" t="s">
        <v>849</v>
      </c>
      <c r="H111" s="8" t="s">
        <v>850</v>
      </c>
      <c r="I111" s="10"/>
      <c r="J111" s="10"/>
      <c r="M111" s="158"/>
      <c r="O111" s="57"/>
    </row>
    <row r="112" ht="22.5" customHeight="1">
      <c r="A112" s="122"/>
      <c r="F112" s="10"/>
      <c r="G112" s="6" t="s">
        <v>851</v>
      </c>
      <c r="H112" s="8" t="s">
        <v>852</v>
      </c>
      <c r="I112" s="10"/>
      <c r="J112" s="10"/>
      <c r="M112" s="158"/>
      <c r="O112" s="57"/>
    </row>
    <row r="113" ht="22.5" customHeight="1">
      <c r="A113" s="123"/>
      <c r="F113" s="10"/>
      <c r="G113" s="6" t="s">
        <v>853</v>
      </c>
      <c r="H113" s="8" t="s">
        <v>854</v>
      </c>
      <c r="I113" s="10"/>
      <c r="J113" s="10"/>
      <c r="M113" s="158"/>
      <c r="O113" s="57"/>
    </row>
    <row r="114" ht="22.5" customHeight="1">
      <c r="A114" s="124"/>
      <c r="F114" s="10"/>
      <c r="H114" s="8" t="s">
        <v>855</v>
      </c>
      <c r="I114" s="8" t="s">
        <v>856</v>
      </c>
      <c r="J114" s="8" t="s">
        <v>857</v>
      </c>
      <c r="M114" s="158"/>
      <c r="O114" s="57"/>
    </row>
    <row r="115" ht="22.5" customHeight="1">
      <c r="A115" s="125"/>
      <c r="F115" s="10"/>
      <c r="G115" s="6" t="s">
        <v>858</v>
      </c>
      <c r="H115" s="8" t="s">
        <v>859</v>
      </c>
      <c r="I115" s="10"/>
      <c r="J115" s="10"/>
      <c r="M115" s="158"/>
      <c r="O115" s="57"/>
    </row>
    <row r="116" ht="22.5" customHeight="1">
      <c r="A116" s="126"/>
      <c r="F116" s="10"/>
      <c r="G116" s="6" t="s">
        <v>860</v>
      </c>
      <c r="H116" s="8" t="s">
        <v>861</v>
      </c>
      <c r="I116" s="10"/>
      <c r="J116" s="10"/>
      <c r="M116" s="158"/>
      <c r="O116" s="57"/>
    </row>
    <row r="117" ht="22.5" customHeight="1">
      <c r="A117" s="127"/>
      <c r="F117" s="10"/>
      <c r="H117" s="8" t="s">
        <v>862</v>
      </c>
      <c r="I117" s="8" t="s">
        <v>863</v>
      </c>
      <c r="J117" s="8" t="s">
        <v>864</v>
      </c>
      <c r="M117" s="158"/>
      <c r="O117" s="57"/>
    </row>
    <row r="118" ht="22.5" customHeight="1">
      <c r="A118" s="128"/>
      <c r="F118" s="10"/>
      <c r="G118" s="6" t="s">
        <v>865</v>
      </c>
      <c r="H118" s="8" t="s">
        <v>866</v>
      </c>
      <c r="I118" s="10"/>
      <c r="J118" s="10"/>
      <c r="M118" s="158"/>
      <c r="O118" s="57"/>
    </row>
    <row r="119" ht="22.5" customHeight="1">
      <c r="A119" s="129"/>
      <c r="F119" s="10"/>
      <c r="G119" s="6" t="s">
        <v>867</v>
      </c>
      <c r="H119" s="8" t="s">
        <v>868</v>
      </c>
      <c r="I119" s="10"/>
      <c r="J119" s="10"/>
      <c r="M119" s="158"/>
      <c r="O119" s="57"/>
    </row>
    <row r="120" ht="22.5" customHeight="1">
      <c r="A120" s="130"/>
      <c r="F120" s="10"/>
      <c r="G120" s="6" t="s">
        <v>869</v>
      </c>
      <c r="H120" s="8" t="s">
        <v>870</v>
      </c>
      <c r="I120" s="10"/>
      <c r="J120" s="10"/>
      <c r="M120" s="158"/>
      <c r="O120" s="57"/>
    </row>
    <row r="121" ht="22.5" customHeight="1">
      <c r="A121" s="131"/>
      <c r="F121" s="10"/>
      <c r="G121" s="6" t="s">
        <v>871</v>
      </c>
      <c r="H121" s="8" t="s">
        <v>872</v>
      </c>
      <c r="I121" s="10"/>
      <c r="J121" s="10"/>
      <c r="M121" s="158"/>
      <c r="O121" s="57"/>
    </row>
    <row r="122" ht="22.5" customHeight="1">
      <c r="A122" s="132"/>
      <c r="F122" s="10"/>
      <c r="G122" s="6" t="s">
        <v>873</v>
      </c>
      <c r="H122" s="8" t="s">
        <v>874</v>
      </c>
      <c r="I122" s="10"/>
      <c r="J122" s="10"/>
      <c r="M122" s="158"/>
      <c r="O122" s="57"/>
    </row>
    <row r="123" ht="22.5" customHeight="1">
      <c r="A123" s="133"/>
      <c r="F123" s="10"/>
      <c r="G123" s="6" t="s">
        <v>875</v>
      </c>
      <c r="H123" s="8" t="s">
        <v>876</v>
      </c>
      <c r="I123" s="10"/>
      <c r="J123" s="10"/>
      <c r="M123" s="158"/>
      <c r="O123" s="57"/>
    </row>
    <row r="124" ht="22.5" customHeight="1">
      <c r="A124" s="134"/>
      <c r="F124" s="10"/>
      <c r="H124" s="8" t="s">
        <v>877</v>
      </c>
      <c r="I124" s="8" t="s">
        <v>878</v>
      </c>
      <c r="J124" s="8" t="s">
        <v>879</v>
      </c>
      <c r="M124" s="158"/>
      <c r="O124" s="57"/>
    </row>
    <row r="125" ht="22.5" customHeight="1">
      <c r="A125" s="135"/>
      <c r="F125" s="10"/>
      <c r="H125" s="8" t="s">
        <v>880</v>
      </c>
      <c r="I125" s="8" t="s">
        <v>881</v>
      </c>
      <c r="J125" s="8" t="s">
        <v>882</v>
      </c>
      <c r="M125" s="158"/>
      <c r="O125" s="57"/>
    </row>
    <row r="126" ht="22.5" customHeight="1">
      <c r="A126" s="136"/>
      <c r="F126" s="10"/>
      <c r="G126" s="6" t="s">
        <v>883</v>
      </c>
      <c r="H126" s="8" t="s">
        <v>884</v>
      </c>
      <c r="I126" s="10"/>
      <c r="J126" s="10"/>
      <c r="M126" s="158"/>
      <c r="O126" s="57"/>
    </row>
    <row r="127" ht="22.5" customHeight="1">
      <c r="A127" s="137"/>
      <c r="F127" s="10"/>
      <c r="G127" s="6" t="s">
        <v>885</v>
      </c>
      <c r="H127" s="8" t="s">
        <v>886</v>
      </c>
      <c r="I127" s="10"/>
      <c r="J127" s="10"/>
      <c r="M127" s="158"/>
      <c r="O127" s="57"/>
    </row>
    <row r="128" ht="22.5" customHeight="1">
      <c r="A128" s="138"/>
      <c r="F128" s="10"/>
      <c r="H128" s="8" t="s">
        <v>887</v>
      </c>
      <c r="I128" s="8" t="s">
        <v>888</v>
      </c>
      <c r="J128" s="8" t="s">
        <v>889</v>
      </c>
      <c r="M128" s="158"/>
      <c r="O128" s="57"/>
    </row>
    <row r="129" ht="22.5" customHeight="1">
      <c r="A129" s="139"/>
      <c r="F129" s="10"/>
      <c r="G129" s="6" t="s">
        <v>890</v>
      </c>
      <c r="H129" s="8" t="s">
        <v>891</v>
      </c>
      <c r="I129" s="10"/>
      <c r="J129" s="10"/>
      <c r="M129" s="158"/>
      <c r="O129" s="57"/>
    </row>
    <row r="130" ht="22.5" customHeight="1">
      <c r="F130" s="10"/>
      <c r="G130" s="6" t="s">
        <v>892</v>
      </c>
      <c r="H130" s="8" t="s">
        <v>893</v>
      </c>
      <c r="I130" s="10"/>
      <c r="J130" s="10"/>
      <c r="M130" s="158"/>
      <c r="O130" s="57"/>
    </row>
    <row r="131" ht="22.5" customHeight="1">
      <c r="A131" s="140"/>
      <c r="F131" s="10"/>
      <c r="G131" s="6" t="s">
        <v>894</v>
      </c>
      <c r="H131" s="8" t="s">
        <v>895</v>
      </c>
      <c r="I131" s="10"/>
      <c r="J131" s="10"/>
      <c r="M131" s="158"/>
      <c r="O131" s="57"/>
    </row>
    <row r="132" ht="22.5" customHeight="1">
      <c r="A132" s="141"/>
      <c r="F132" s="10"/>
      <c r="G132" s="6" t="s">
        <v>896</v>
      </c>
      <c r="H132" s="8" t="s">
        <v>897</v>
      </c>
      <c r="I132" s="10"/>
      <c r="J132" s="10"/>
      <c r="M132" s="158"/>
      <c r="O132" s="57"/>
    </row>
    <row r="133" ht="22.5" customHeight="1">
      <c r="A133" s="142"/>
      <c r="F133" s="10"/>
      <c r="G133" s="6" t="s">
        <v>898</v>
      </c>
      <c r="H133" s="8" t="s">
        <v>899</v>
      </c>
      <c r="I133" s="10"/>
      <c r="J133" s="10"/>
      <c r="M133" s="158"/>
      <c r="O133" s="57"/>
    </row>
    <row r="134" ht="22.5" customHeight="1">
      <c r="A134" s="143"/>
      <c r="F134" s="10"/>
      <c r="G134" s="6" t="s">
        <v>900</v>
      </c>
      <c r="H134" s="8" t="s">
        <v>901</v>
      </c>
      <c r="I134" s="10"/>
      <c r="J134" s="10"/>
      <c r="M134" s="158"/>
      <c r="O134" s="57"/>
    </row>
    <row r="135" ht="22.5" customHeight="1">
      <c r="A135" s="144"/>
      <c r="F135" s="10"/>
      <c r="G135" s="6" t="s">
        <v>902</v>
      </c>
      <c r="H135" s="8" t="s">
        <v>903</v>
      </c>
      <c r="I135" s="10"/>
      <c r="J135" s="10"/>
      <c r="M135" s="158"/>
      <c r="O135" s="57"/>
    </row>
    <row r="136" ht="22.5" customHeight="1">
      <c r="A136" s="145"/>
      <c r="F136" s="10"/>
      <c r="G136" s="6" t="s">
        <v>904</v>
      </c>
      <c r="H136" s="8" t="s">
        <v>905</v>
      </c>
      <c r="I136" s="10"/>
      <c r="J136" s="10"/>
      <c r="M136" s="158"/>
      <c r="O136" s="57"/>
    </row>
    <row r="137" ht="22.5" customHeight="1">
      <c r="A137" s="141"/>
      <c r="F137" s="10"/>
      <c r="G137" s="6" t="s">
        <v>906</v>
      </c>
      <c r="H137" s="8" t="s">
        <v>907</v>
      </c>
      <c r="I137" s="10"/>
      <c r="J137" s="10"/>
      <c r="M137" s="158"/>
      <c r="O137" s="57"/>
    </row>
    <row r="138" ht="22.5" customHeight="1">
      <c r="A138" s="146"/>
      <c r="F138" s="10"/>
      <c r="H138" s="8" t="s">
        <v>908</v>
      </c>
      <c r="I138" s="8" t="s">
        <v>909</v>
      </c>
      <c r="J138" s="8" t="s">
        <v>910</v>
      </c>
      <c r="M138" s="158"/>
      <c r="O138" s="57"/>
    </row>
    <row r="139" ht="22.5" customHeight="1">
      <c r="A139" s="147"/>
      <c r="F139" s="10"/>
      <c r="G139" s="6" t="s">
        <v>911</v>
      </c>
      <c r="H139" s="8" t="s">
        <v>912</v>
      </c>
      <c r="I139" s="10"/>
      <c r="J139" s="10"/>
      <c r="M139" s="158"/>
      <c r="O139" s="57"/>
    </row>
    <row r="140" ht="22.5" customHeight="1">
      <c r="A140" s="148"/>
      <c r="F140" s="10"/>
      <c r="G140" s="6" t="s">
        <v>913</v>
      </c>
      <c r="H140" s="8" t="s">
        <v>914</v>
      </c>
      <c r="I140" s="8" t="s">
        <v>915</v>
      </c>
      <c r="J140" s="8" t="s">
        <v>916</v>
      </c>
      <c r="M140" s="158"/>
      <c r="O140" s="57"/>
    </row>
    <row r="141" ht="22.5" customHeight="1">
      <c r="A141" s="149"/>
      <c r="F141" s="10"/>
      <c r="G141" s="6" t="s">
        <v>917</v>
      </c>
      <c r="H141" s="8" t="s">
        <v>918</v>
      </c>
      <c r="I141" s="10"/>
      <c r="J141" s="10"/>
      <c r="M141" s="158"/>
      <c r="O141" s="57"/>
    </row>
    <row r="142" ht="22.5" customHeight="1">
      <c r="A142" s="150"/>
      <c r="F142" s="10"/>
      <c r="G142" s="6" t="s">
        <v>919</v>
      </c>
      <c r="H142" s="8" t="s">
        <v>920</v>
      </c>
      <c r="I142" s="8" t="s">
        <v>921</v>
      </c>
      <c r="J142" s="8" t="s">
        <v>922</v>
      </c>
      <c r="M142" s="158"/>
      <c r="O142" s="57"/>
    </row>
    <row r="143" ht="22.5" customHeight="1">
      <c r="A143" s="151"/>
      <c r="F143" s="10"/>
      <c r="G143" s="6" t="s">
        <v>923</v>
      </c>
      <c r="H143" s="8" t="s">
        <v>924</v>
      </c>
      <c r="I143" s="10"/>
      <c r="J143" s="10"/>
      <c r="M143" s="158"/>
      <c r="O143" s="57"/>
    </row>
    <row r="144" ht="22.5" customHeight="1">
      <c r="A144" s="152"/>
      <c r="F144" s="10"/>
      <c r="G144" s="6" t="s">
        <v>925</v>
      </c>
      <c r="H144" s="8" t="s">
        <v>926</v>
      </c>
      <c r="I144" s="10"/>
      <c r="J144" s="10"/>
      <c r="M144" s="158"/>
      <c r="O144" s="57"/>
    </row>
    <row r="145" ht="22.5" customHeight="1">
      <c r="A145" s="153"/>
      <c r="F145" s="10"/>
      <c r="G145" s="6" t="s">
        <v>927</v>
      </c>
      <c r="H145" s="8" t="s">
        <v>928</v>
      </c>
      <c r="I145" s="10"/>
      <c r="J145" s="10"/>
      <c r="M145" s="158"/>
      <c r="O145" s="57"/>
    </row>
    <row r="146" ht="22.5" customHeight="1">
      <c r="A146" s="154"/>
      <c r="F146" s="10"/>
      <c r="G146" s="6" t="s">
        <v>929</v>
      </c>
      <c r="H146" s="8" t="s">
        <v>930</v>
      </c>
      <c r="I146" s="10"/>
      <c r="J146" s="10"/>
      <c r="M146" s="158"/>
      <c r="O146" s="57"/>
    </row>
    <row r="147" ht="22.5" customHeight="1">
      <c r="A147" s="155"/>
      <c r="F147" s="10"/>
      <c r="G147" s="6" t="s">
        <v>931</v>
      </c>
      <c r="H147" s="8" t="s">
        <v>932</v>
      </c>
      <c r="I147" s="10"/>
      <c r="J147" s="10"/>
      <c r="M147" s="158"/>
      <c r="O147" s="57"/>
    </row>
    <row r="148" ht="22.5" customHeight="1">
      <c r="A148" s="156"/>
      <c r="F148" s="10"/>
      <c r="G148" s="6" t="s">
        <v>933</v>
      </c>
      <c r="H148" s="157" t="s">
        <v>934</v>
      </c>
      <c r="I148" s="158"/>
      <c r="J148" s="10"/>
      <c r="M148" s="158"/>
      <c r="O148" s="57"/>
    </row>
    <row r="149" ht="22.5" customHeight="1">
      <c r="A149" s="159"/>
      <c r="F149" s="10"/>
      <c r="G149" s="6" t="s">
        <v>935</v>
      </c>
      <c r="H149" s="160" t="s">
        <v>936</v>
      </c>
      <c r="I149" s="158"/>
      <c r="J149" s="10"/>
      <c r="M149" s="158"/>
      <c r="O149" s="57"/>
    </row>
    <row r="150" ht="22.5" customHeight="1">
      <c r="A150" s="161"/>
      <c r="F150" s="10"/>
      <c r="G150" s="6" t="s">
        <v>937</v>
      </c>
      <c r="H150" s="157" t="s">
        <v>938</v>
      </c>
      <c r="I150" s="162" t="s">
        <v>939</v>
      </c>
      <c r="J150" s="8" t="s">
        <v>940</v>
      </c>
      <c r="M150" s="158"/>
      <c r="O150" s="57"/>
    </row>
    <row r="151" ht="22.5" customHeight="1">
      <c r="A151" s="163"/>
      <c r="F151" s="10"/>
      <c r="H151" s="8" t="s">
        <v>941</v>
      </c>
      <c r="I151" s="10"/>
      <c r="J151" s="10"/>
      <c r="M151" s="158"/>
      <c r="O151" s="57"/>
    </row>
    <row r="152" ht="22.5" customHeight="1">
      <c r="A152" s="164"/>
      <c r="F152" s="10"/>
      <c r="H152" s="8" t="s">
        <v>942</v>
      </c>
      <c r="I152" s="10"/>
      <c r="J152" s="10"/>
      <c r="M152" s="158"/>
      <c r="O152" s="57"/>
    </row>
    <row r="153" ht="22.5" customHeight="1">
      <c r="A153" s="165"/>
      <c r="F153" s="10"/>
      <c r="G153" s="6" t="s">
        <v>943</v>
      </c>
      <c r="H153" s="8" t="s">
        <v>944</v>
      </c>
      <c r="I153" s="10"/>
      <c r="J153" s="10"/>
      <c r="M153" s="158"/>
      <c r="O153" s="57"/>
    </row>
    <row r="154" ht="22.5" customHeight="1">
      <c r="A154" s="166"/>
      <c r="F154" s="10"/>
      <c r="G154" s="6" t="s">
        <v>945</v>
      </c>
      <c r="H154" s="8" t="s">
        <v>946</v>
      </c>
      <c r="I154" s="10"/>
      <c r="J154" s="10"/>
      <c r="M154" s="158"/>
      <c r="O154" s="57"/>
    </row>
    <row r="155" ht="22.5" customHeight="1">
      <c r="A155" s="167"/>
      <c r="F155" s="10"/>
      <c r="G155" s="6" t="s">
        <v>947</v>
      </c>
      <c r="H155" s="8" t="s">
        <v>948</v>
      </c>
      <c r="I155" s="10"/>
      <c r="J155" s="10"/>
      <c r="M155" s="158"/>
      <c r="O155" s="57"/>
    </row>
    <row r="156" ht="22.5" customHeight="1">
      <c r="A156" s="168"/>
      <c r="F156" s="10"/>
      <c r="G156" s="6" t="s">
        <v>949</v>
      </c>
      <c r="H156" s="8" t="s">
        <v>950</v>
      </c>
      <c r="I156" s="8" t="s">
        <v>951</v>
      </c>
      <c r="J156" s="8" t="s">
        <v>952</v>
      </c>
      <c r="M156" s="158"/>
      <c r="O156" s="57"/>
    </row>
    <row r="157" ht="22.5" customHeight="1">
      <c r="A157" s="169"/>
      <c r="F157" s="10"/>
      <c r="G157" s="6" t="s">
        <v>953</v>
      </c>
      <c r="H157" s="8" t="s">
        <v>954</v>
      </c>
      <c r="I157" s="8" t="s">
        <v>955</v>
      </c>
      <c r="J157" s="8" t="s">
        <v>956</v>
      </c>
      <c r="M157" s="158"/>
      <c r="O157" s="57"/>
    </row>
    <row r="158" ht="22.5" customHeight="1">
      <c r="A158" s="170"/>
      <c r="F158" s="10"/>
      <c r="H158" s="8" t="s">
        <v>957</v>
      </c>
      <c r="I158" s="8" t="s">
        <v>958</v>
      </c>
      <c r="J158" s="8" t="s">
        <v>959</v>
      </c>
      <c r="M158" s="158"/>
      <c r="O158" s="57"/>
    </row>
    <row r="159" ht="22.5" customHeight="1">
      <c r="A159" s="171"/>
      <c r="F159" s="10"/>
      <c r="H159" s="8" t="s">
        <v>960</v>
      </c>
      <c r="I159" s="8" t="s">
        <v>961</v>
      </c>
      <c r="J159" s="8" t="s">
        <v>962</v>
      </c>
      <c r="M159" s="158"/>
      <c r="O159" s="57"/>
    </row>
    <row r="160" ht="22.5" customHeight="1">
      <c r="A160" s="172"/>
      <c r="F160" s="10"/>
      <c r="G160" s="6" t="s">
        <v>963</v>
      </c>
      <c r="H160" s="8" t="s">
        <v>964</v>
      </c>
      <c r="I160" s="10"/>
      <c r="J160" s="10"/>
      <c r="M160" s="158"/>
      <c r="O160" s="57"/>
    </row>
    <row r="161" ht="22.5" customHeight="1">
      <c r="A161" s="173"/>
      <c r="F161" s="10"/>
      <c r="G161" s="6" t="s">
        <v>965</v>
      </c>
      <c r="H161" s="8" t="s">
        <v>966</v>
      </c>
      <c r="I161" s="10"/>
      <c r="J161" s="10"/>
      <c r="M161" s="158"/>
      <c r="O161" s="57"/>
    </row>
    <row r="162" ht="22.5" customHeight="1">
      <c r="A162" s="174"/>
      <c r="F162" s="10"/>
      <c r="G162" s="6" t="s">
        <v>967</v>
      </c>
      <c r="H162" s="8" t="s">
        <v>968</v>
      </c>
      <c r="I162" s="6" t="s">
        <v>969</v>
      </c>
      <c r="J162" s="8" t="s">
        <v>970</v>
      </c>
      <c r="M162" s="158"/>
      <c r="O162" s="57"/>
    </row>
    <row r="163" ht="22.5" customHeight="1">
      <c r="A163" s="175"/>
      <c r="F163" s="10"/>
      <c r="G163" s="6" t="s">
        <v>971</v>
      </c>
      <c r="H163" s="8" t="s">
        <v>972</v>
      </c>
      <c r="I163" s="8" t="s">
        <v>973</v>
      </c>
      <c r="J163" s="8" t="s">
        <v>974</v>
      </c>
      <c r="M163" s="158"/>
      <c r="O163" s="57"/>
    </row>
    <row r="164" ht="22.5" customHeight="1">
      <c r="A164" s="176"/>
      <c r="F164" s="10"/>
      <c r="G164" s="6" t="s">
        <v>975</v>
      </c>
      <c r="H164" s="8" t="s">
        <v>976</v>
      </c>
      <c r="I164" s="10"/>
      <c r="J164" s="10"/>
      <c r="M164" s="158"/>
      <c r="O164" s="57"/>
    </row>
    <row r="165" ht="22.5" customHeight="1">
      <c r="A165" s="177"/>
      <c r="F165" s="10"/>
      <c r="G165" s="6" t="s">
        <v>977</v>
      </c>
      <c r="H165" s="8" t="s">
        <v>978</v>
      </c>
      <c r="I165" s="10"/>
      <c r="J165" s="10"/>
      <c r="M165" s="158"/>
      <c r="O165" s="57"/>
    </row>
    <row r="166" ht="22.5" customHeight="1">
      <c r="A166" s="178"/>
      <c r="F166" s="10"/>
      <c r="G166" s="6" t="s">
        <v>979</v>
      </c>
      <c r="H166" s="8" t="s">
        <v>980</v>
      </c>
      <c r="I166" s="10"/>
      <c r="J166" s="10"/>
      <c r="M166" s="158"/>
      <c r="O166" s="57"/>
    </row>
    <row r="167" ht="22.5" customHeight="1">
      <c r="A167" s="179"/>
      <c r="F167" s="10"/>
      <c r="G167" s="6" t="s">
        <v>981</v>
      </c>
      <c r="H167" s="8" t="s">
        <v>982</v>
      </c>
      <c r="I167" s="8" t="s">
        <v>983</v>
      </c>
      <c r="J167" s="8" t="s">
        <v>984</v>
      </c>
      <c r="M167" s="158"/>
      <c r="O167" s="57"/>
    </row>
    <row r="168" ht="22.5" customHeight="1">
      <c r="A168" s="180"/>
      <c r="F168" s="10"/>
      <c r="G168" s="6" t="s">
        <v>985</v>
      </c>
      <c r="H168" s="8" t="s">
        <v>986</v>
      </c>
      <c r="I168" s="8" t="s">
        <v>987</v>
      </c>
      <c r="J168" s="8" t="s">
        <v>988</v>
      </c>
      <c r="M168" s="158"/>
      <c r="O168" s="57"/>
    </row>
    <row r="169" ht="22.5" customHeight="1">
      <c r="A169" s="181"/>
      <c r="F169" s="10"/>
      <c r="G169" s="6" t="s">
        <v>989</v>
      </c>
      <c r="H169" s="8" t="s">
        <v>990</v>
      </c>
      <c r="I169" s="10"/>
      <c r="J169" s="10"/>
      <c r="M169" s="158"/>
      <c r="O169" s="57"/>
    </row>
    <row r="170" ht="22.5" customHeight="1">
      <c r="A170" s="182"/>
      <c r="F170" s="10"/>
      <c r="G170" s="6" t="s">
        <v>991</v>
      </c>
      <c r="H170" s="8" t="s">
        <v>992</v>
      </c>
      <c r="M170" s="158"/>
      <c r="O170" s="57"/>
    </row>
    <row r="171" ht="22.5" customHeight="1">
      <c r="A171" s="183"/>
      <c r="F171" s="10"/>
      <c r="G171" s="6" t="s">
        <v>993</v>
      </c>
      <c r="H171" s="8" t="s">
        <v>994</v>
      </c>
      <c r="I171" s="10"/>
      <c r="J171" s="10"/>
      <c r="M171" s="158"/>
      <c r="O171" s="57"/>
    </row>
    <row r="172" ht="22.5" customHeight="1">
      <c r="A172" s="184"/>
      <c r="F172" s="10"/>
      <c r="G172" s="6" t="s">
        <v>995</v>
      </c>
      <c r="H172" s="8" t="s">
        <v>996</v>
      </c>
      <c r="I172" s="8" t="s">
        <v>997</v>
      </c>
      <c r="J172" s="8" t="s">
        <v>998</v>
      </c>
      <c r="M172" s="158"/>
      <c r="O172" s="57"/>
    </row>
    <row r="173" ht="22.5" customHeight="1">
      <c r="A173" s="185"/>
      <c r="F173" s="10"/>
      <c r="G173" s="6" t="s">
        <v>999</v>
      </c>
      <c r="H173" s="8" t="s">
        <v>1000</v>
      </c>
      <c r="I173" s="10"/>
      <c r="J173" s="10"/>
      <c r="M173" s="158"/>
      <c r="O173" s="57"/>
    </row>
    <row r="174" ht="22.5" customHeight="1">
      <c r="A174" s="186"/>
      <c r="F174" s="10"/>
      <c r="G174" s="6" t="s">
        <v>1001</v>
      </c>
      <c r="H174" s="8" t="s">
        <v>1002</v>
      </c>
      <c r="I174" s="10"/>
      <c r="J174" s="10"/>
      <c r="M174" s="158"/>
      <c r="O174" s="57"/>
    </row>
    <row r="175" ht="22.5" customHeight="1">
      <c r="A175" s="187"/>
      <c r="F175" s="10"/>
      <c r="G175" s="6" t="s">
        <v>1003</v>
      </c>
      <c r="H175" s="8" t="s">
        <v>1004</v>
      </c>
      <c r="I175" s="10"/>
      <c r="J175" s="10"/>
      <c r="M175" s="158"/>
      <c r="O175" s="57"/>
    </row>
    <row r="176" ht="22.5" customHeight="1">
      <c r="A176" s="188"/>
      <c r="F176" s="10"/>
      <c r="G176" s="6" t="s">
        <v>1005</v>
      </c>
      <c r="H176" s="8" t="s">
        <v>1006</v>
      </c>
      <c r="I176" s="10"/>
      <c r="J176" s="10"/>
      <c r="M176" s="158"/>
      <c r="O176" s="57"/>
    </row>
    <row r="177" ht="22.5" customHeight="1">
      <c r="A177" s="189"/>
      <c r="F177" s="10"/>
      <c r="G177" s="6" t="s">
        <v>1007</v>
      </c>
      <c r="H177" s="8" t="s">
        <v>1008</v>
      </c>
      <c r="I177" s="8" t="s">
        <v>1009</v>
      </c>
      <c r="J177" s="8" t="s">
        <v>1010</v>
      </c>
      <c r="M177" s="158"/>
      <c r="O177" s="57"/>
    </row>
    <row r="178" ht="22.5" customHeight="1">
      <c r="A178" s="190"/>
      <c r="F178" s="10"/>
      <c r="G178" s="6" t="s">
        <v>1011</v>
      </c>
      <c r="H178" s="8" t="s">
        <v>1012</v>
      </c>
      <c r="I178" s="10"/>
      <c r="J178" s="10"/>
      <c r="M178" s="158"/>
      <c r="O178" s="57"/>
    </row>
    <row r="179" ht="22.5" customHeight="1">
      <c r="A179" s="191"/>
      <c r="F179" s="10"/>
      <c r="G179" s="6" t="s">
        <v>1013</v>
      </c>
      <c r="H179" s="8" t="s">
        <v>1014</v>
      </c>
      <c r="I179" s="10"/>
      <c r="J179" s="10"/>
      <c r="M179" s="158"/>
      <c r="O179" s="57"/>
    </row>
    <row r="180" ht="22.5" customHeight="1">
      <c r="A180" s="192"/>
      <c r="F180" s="10"/>
      <c r="G180" s="6" t="s">
        <v>1015</v>
      </c>
      <c r="H180" s="8" t="s">
        <v>1016</v>
      </c>
      <c r="I180" s="10"/>
      <c r="J180" s="10"/>
      <c r="M180" s="158"/>
      <c r="O180" s="57"/>
    </row>
    <row r="181" ht="22.5" customHeight="1">
      <c r="A181" s="193"/>
      <c r="F181" s="10"/>
      <c r="G181" s="6" t="s">
        <v>1017</v>
      </c>
      <c r="H181" s="8" t="s">
        <v>1018</v>
      </c>
      <c r="I181" s="10"/>
      <c r="J181" s="10"/>
      <c r="M181" s="158"/>
      <c r="O181" s="57"/>
    </row>
    <row r="182" ht="22.5" customHeight="1">
      <c r="A182" s="194"/>
      <c r="F182" s="10"/>
      <c r="G182" s="6" t="s">
        <v>1019</v>
      </c>
      <c r="H182" s="8" t="s">
        <v>1020</v>
      </c>
      <c r="I182" s="10"/>
      <c r="J182" s="10"/>
      <c r="M182" s="158"/>
      <c r="O182" s="57"/>
    </row>
    <row r="183" ht="22.5" customHeight="1">
      <c r="A183" s="195"/>
      <c r="F183" s="10"/>
      <c r="G183" s="6" t="s">
        <v>1021</v>
      </c>
      <c r="H183" s="8" t="s">
        <v>1022</v>
      </c>
      <c r="I183" s="10"/>
      <c r="J183" s="10"/>
      <c r="M183" s="158"/>
      <c r="O183" s="57"/>
    </row>
    <row r="184" ht="22.5" customHeight="1">
      <c r="A184" s="196"/>
      <c r="F184" s="10"/>
      <c r="G184" s="6" t="s">
        <v>1023</v>
      </c>
      <c r="H184" s="8" t="s">
        <v>1024</v>
      </c>
      <c r="I184" s="10"/>
      <c r="J184" s="10"/>
      <c r="M184" s="158"/>
      <c r="O184" s="57"/>
    </row>
    <row r="185" ht="22.5" customHeight="1">
      <c r="A185" s="197"/>
      <c r="F185" s="10"/>
      <c r="G185" s="6" t="s">
        <v>1025</v>
      </c>
      <c r="H185" s="8" t="s">
        <v>1026</v>
      </c>
      <c r="I185" s="10"/>
      <c r="J185" s="10"/>
      <c r="M185" s="158"/>
      <c r="O185" s="57"/>
    </row>
    <row r="186" ht="22.5" customHeight="1">
      <c r="A186" s="198"/>
      <c r="F186" s="10"/>
      <c r="G186" s="6" t="s">
        <v>1027</v>
      </c>
      <c r="H186" s="8" t="s">
        <v>1028</v>
      </c>
      <c r="I186" s="10"/>
      <c r="J186" s="10"/>
      <c r="M186" s="158"/>
      <c r="O186" s="57"/>
    </row>
    <row r="187" ht="22.5" customHeight="1">
      <c r="A187" s="199"/>
      <c r="F187" s="10"/>
      <c r="G187" s="6" t="s">
        <v>1029</v>
      </c>
      <c r="H187" s="8" t="s">
        <v>1030</v>
      </c>
      <c r="I187" s="8" t="s">
        <v>1031</v>
      </c>
      <c r="J187" s="8" t="s">
        <v>1032</v>
      </c>
      <c r="M187" s="158"/>
      <c r="O187" s="57"/>
    </row>
    <row r="188" ht="22.5" customHeight="1">
      <c r="A188" s="200"/>
      <c r="F188" s="10"/>
      <c r="G188" s="6" t="s">
        <v>1033</v>
      </c>
      <c r="H188" s="8" t="s">
        <v>1034</v>
      </c>
      <c r="I188" s="8" t="s">
        <v>1035</v>
      </c>
      <c r="J188" s="8" t="s">
        <v>1036</v>
      </c>
      <c r="M188" s="158"/>
      <c r="O188" s="57"/>
    </row>
    <row r="189" ht="22.5" customHeight="1">
      <c r="A189" s="201"/>
      <c r="F189" s="10"/>
      <c r="G189" s="6" t="s">
        <v>1037</v>
      </c>
      <c r="H189" s="8" t="s">
        <v>1038</v>
      </c>
      <c r="I189" s="10"/>
      <c r="J189" s="10"/>
      <c r="M189" s="158"/>
      <c r="O189" s="57"/>
    </row>
    <row r="190" ht="22.5" customHeight="1">
      <c r="A190" s="202"/>
      <c r="F190" s="10"/>
      <c r="G190" s="6" t="s">
        <v>1039</v>
      </c>
      <c r="H190" s="8" t="s">
        <v>1040</v>
      </c>
      <c r="I190" s="10"/>
      <c r="J190" s="10"/>
      <c r="M190" s="158"/>
      <c r="O190" s="57"/>
    </row>
    <row r="191" ht="22.5" customHeight="1">
      <c r="A191" s="203"/>
      <c r="F191" s="10"/>
      <c r="G191" s="6" t="s">
        <v>1041</v>
      </c>
      <c r="H191" s="8" t="s">
        <v>1042</v>
      </c>
      <c r="I191" s="10"/>
      <c r="J191" s="10"/>
      <c r="M191" s="158"/>
      <c r="O191" s="57"/>
    </row>
    <row r="192" ht="22.5" customHeight="1">
      <c r="A192" s="204"/>
      <c r="F192" s="10"/>
      <c r="G192" s="6" t="s">
        <v>1043</v>
      </c>
      <c r="H192" s="8" t="s">
        <v>1044</v>
      </c>
      <c r="I192" s="10"/>
      <c r="J192" s="10"/>
      <c r="M192" s="158"/>
      <c r="O192" s="57"/>
    </row>
    <row r="193" ht="22.5" customHeight="1">
      <c r="A193" s="205"/>
      <c r="F193" s="10"/>
      <c r="G193" s="6" t="s">
        <v>1045</v>
      </c>
      <c r="H193" s="8" t="s">
        <v>1046</v>
      </c>
      <c r="I193" s="8" t="s">
        <v>1047</v>
      </c>
      <c r="J193" s="8" t="s">
        <v>1048</v>
      </c>
      <c r="M193" s="158"/>
      <c r="O193" s="57"/>
    </row>
    <row r="194" ht="22.5" customHeight="1">
      <c r="A194" s="206"/>
      <c r="F194" s="10"/>
      <c r="G194" s="6" t="s">
        <v>1049</v>
      </c>
      <c r="H194" s="8" t="s">
        <v>1050</v>
      </c>
      <c r="I194" s="8" t="s">
        <v>1051</v>
      </c>
      <c r="J194" s="8" t="s">
        <v>1052</v>
      </c>
      <c r="M194" s="158"/>
      <c r="O194" s="57"/>
    </row>
    <row r="195" ht="22.5" customHeight="1">
      <c r="A195" s="207"/>
      <c r="F195" s="10"/>
      <c r="G195" s="6" t="s">
        <v>1053</v>
      </c>
      <c r="H195" s="8" t="s">
        <v>1054</v>
      </c>
      <c r="I195" s="10"/>
      <c r="J195" s="10"/>
      <c r="M195" s="158"/>
      <c r="O195" s="57"/>
    </row>
    <row r="196" ht="22.5" customHeight="1">
      <c r="A196" s="208"/>
      <c r="F196" s="10"/>
      <c r="G196" s="6" t="s">
        <v>1055</v>
      </c>
      <c r="H196" s="8" t="s">
        <v>1056</v>
      </c>
      <c r="I196" s="10"/>
      <c r="J196" s="10"/>
      <c r="M196" s="158"/>
      <c r="O196" s="57"/>
    </row>
    <row r="197" ht="22.5" customHeight="1">
      <c r="A197" s="209"/>
      <c r="F197" s="10"/>
      <c r="G197" s="6" t="s">
        <v>1057</v>
      </c>
      <c r="H197" s="8" t="s">
        <v>1058</v>
      </c>
      <c r="I197" s="10"/>
      <c r="J197" s="10"/>
      <c r="M197" s="158"/>
      <c r="O197" s="57"/>
    </row>
    <row r="198" ht="22.5" customHeight="1">
      <c r="A198" s="210"/>
      <c r="F198" s="10"/>
      <c r="G198" s="6" t="s">
        <v>1059</v>
      </c>
      <c r="H198" s="8" t="s">
        <v>1060</v>
      </c>
      <c r="I198" s="10"/>
      <c r="J198" s="10"/>
      <c r="M198" s="158"/>
      <c r="O198" s="57"/>
    </row>
    <row r="199" ht="22.5" customHeight="1">
      <c r="A199" s="211"/>
      <c r="F199" s="10"/>
      <c r="G199" s="6" t="s">
        <v>1061</v>
      </c>
      <c r="H199" s="8" t="s">
        <v>1062</v>
      </c>
      <c r="I199" s="10"/>
      <c r="J199" s="10"/>
      <c r="M199" s="158"/>
      <c r="O199" s="57"/>
    </row>
    <row r="200" ht="22.5" customHeight="1">
      <c r="A200" s="212"/>
      <c r="F200" s="10"/>
      <c r="G200" s="6" t="s">
        <v>1063</v>
      </c>
      <c r="H200" s="8" t="s">
        <v>1064</v>
      </c>
      <c r="I200" s="8" t="s">
        <v>1065</v>
      </c>
      <c r="J200" s="8" t="s">
        <v>1066</v>
      </c>
      <c r="M200" s="158"/>
      <c r="O200" s="57"/>
    </row>
    <row r="201" ht="22.5" customHeight="1">
      <c r="A201" s="213"/>
      <c r="F201" s="10"/>
      <c r="G201" s="6" t="s">
        <v>1067</v>
      </c>
      <c r="H201" s="8" t="s">
        <v>1068</v>
      </c>
      <c r="I201" s="10"/>
      <c r="J201" s="10"/>
      <c r="M201" s="158"/>
      <c r="O201" s="57"/>
    </row>
    <row r="202" ht="22.5" customHeight="1">
      <c r="A202" s="214"/>
      <c r="F202" s="10"/>
      <c r="G202" s="6" t="s">
        <v>1069</v>
      </c>
      <c r="H202" s="8" t="s">
        <v>1070</v>
      </c>
      <c r="I202" s="8" t="s">
        <v>1071</v>
      </c>
      <c r="J202" s="8" t="s">
        <v>1072</v>
      </c>
      <c r="M202" s="158"/>
      <c r="O202" s="57"/>
    </row>
    <row r="203" ht="22.5" customHeight="1">
      <c r="A203" s="215"/>
      <c r="F203" s="10"/>
      <c r="G203" s="6" t="s">
        <v>1073</v>
      </c>
      <c r="H203" s="8" t="s">
        <v>1074</v>
      </c>
      <c r="I203" s="10"/>
      <c r="J203" s="10"/>
      <c r="M203" s="158"/>
      <c r="O203" s="57"/>
    </row>
    <row r="204" ht="22.5" customHeight="1">
      <c r="A204" s="216"/>
      <c r="F204" s="10"/>
      <c r="G204" s="6" t="s">
        <v>1075</v>
      </c>
      <c r="H204" s="8" t="s">
        <v>1076</v>
      </c>
      <c r="I204" s="10"/>
      <c r="J204" s="10"/>
      <c r="M204" s="158"/>
      <c r="O204" s="57"/>
    </row>
    <row r="205" ht="22.5" customHeight="1">
      <c r="A205" s="217"/>
      <c r="F205" s="10"/>
      <c r="G205" s="6" t="s">
        <v>1077</v>
      </c>
      <c r="H205" s="8" t="s">
        <v>1078</v>
      </c>
      <c r="I205" s="10"/>
      <c r="J205" s="10"/>
      <c r="M205" s="158"/>
      <c r="O205" s="57"/>
    </row>
    <row r="206" ht="22.5" customHeight="1">
      <c r="A206" s="218"/>
      <c r="F206" s="10"/>
      <c r="G206" s="6" t="s">
        <v>1079</v>
      </c>
      <c r="H206" s="8" t="s">
        <v>1080</v>
      </c>
      <c r="I206" s="10"/>
      <c r="J206" s="10"/>
      <c r="M206" s="158"/>
      <c r="O206" s="57"/>
    </row>
    <row r="207" ht="22.5" customHeight="1">
      <c r="A207" s="219"/>
      <c r="F207" s="10"/>
      <c r="G207" s="6" t="s">
        <v>1081</v>
      </c>
      <c r="H207" s="8" t="s">
        <v>1082</v>
      </c>
      <c r="I207" s="8" t="s">
        <v>1083</v>
      </c>
      <c r="J207" s="8" t="s">
        <v>1084</v>
      </c>
      <c r="M207" s="158"/>
      <c r="O207" s="57"/>
    </row>
    <row r="208" ht="22.5" customHeight="1">
      <c r="A208" s="220"/>
      <c r="F208" s="10"/>
      <c r="G208" s="6" t="s">
        <v>1085</v>
      </c>
      <c r="H208" s="8" t="s">
        <v>1086</v>
      </c>
      <c r="I208" s="10"/>
      <c r="J208" s="10"/>
      <c r="M208" s="158"/>
      <c r="O208" s="57"/>
    </row>
    <row r="209" ht="22.5" customHeight="1">
      <c r="A209" s="221"/>
      <c r="F209" s="10"/>
      <c r="G209" s="6" t="s">
        <v>1087</v>
      </c>
      <c r="H209" s="8" t="s">
        <v>1088</v>
      </c>
      <c r="I209" s="10"/>
      <c r="J209" s="10"/>
      <c r="M209" s="158"/>
      <c r="O209" s="57"/>
    </row>
    <row r="210" ht="22.5" customHeight="1">
      <c r="A210" s="222"/>
      <c r="F210" s="10"/>
      <c r="G210" s="6" t="s">
        <v>1089</v>
      </c>
      <c r="H210" s="8" t="s">
        <v>1090</v>
      </c>
      <c r="I210" s="10"/>
      <c r="J210" s="10"/>
      <c r="M210" s="158"/>
      <c r="O210" s="57"/>
    </row>
    <row r="211" ht="22.5" customHeight="1">
      <c r="A211" s="223"/>
      <c r="F211" s="10"/>
      <c r="G211" s="6" t="s">
        <v>1091</v>
      </c>
      <c r="H211" s="8" t="s">
        <v>1092</v>
      </c>
      <c r="I211" s="10"/>
      <c r="J211" s="10"/>
      <c r="M211" s="158"/>
      <c r="O211" s="57"/>
    </row>
    <row r="212" ht="22.5" customHeight="1">
      <c r="A212" s="224"/>
      <c r="F212" s="10"/>
      <c r="G212" s="6" t="s">
        <v>1093</v>
      </c>
      <c r="H212" s="8" t="s">
        <v>1094</v>
      </c>
      <c r="I212" s="10"/>
      <c r="J212" s="10"/>
      <c r="M212" s="158"/>
      <c r="O212" s="57"/>
    </row>
    <row r="213" ht="22.5" customHeight="1">
      <c r="A213" s="225"/>
      <c r="F213" s="10"/>
      <c r="G213" s="6" t="s">
        <v>1095</v>
      </c>
      <c r="H213" s="8" t="s">
        <v>1096</v>
      </c>
      <c r="I213" s="8" t="s">
        <v>1097</v>
      </c>
      <c r="J213" s="8" t="s">
        <v>1098</v>
      </c>
      <c r="M213" s="158"/>
      <c r="O213" s="57"/>
    </row>
    <row r="214" ht="22.5" customHeight="1">
      <c r="A214" s="226"/>
      <c r="F214" s="10"/>
      <c r="G214" s="6" t="s">
        <v>1099</v>
      </c>
      <c r="H214" s="8" t="s">
        <v>1100</v>
      </c>
      <c r="I214" s="10"/>
      <c r="J214" s="10"/>
      <c r="M214" s="158"/>
      <c r="O214" s="57"/>
    </row>
    <row r="215" ht="22.5" customHeight="1">
      <c r="A215" s="227"/>
      <c r="F215" s="10"/>
      <c r="G215" s="6" t="s">
        <v>1101</v>
      </c>
      <c r="H215" s="8" t="s">
        <v>1102</v>
      </c>
      <c r="I215" s="10"/>
      <c r="J215" s="10"/>
      <c r="M215" s="158"/>
      <c r="O215" s="57"/>
    </row>
    <row r="216" ht="22.5" customHeight="1">
      <c r="A216" s="228"/>
      <c r="F216" s="10"/>
      <c r="G216" s="6" t="s">
        <v>1103</v>
      </c>
      <c r="H216" s="8" t="s">
        <v>1104</v>
      </c>
      <c r="I216" s="10"/>
      <c r="J216" s="10"/>
      <c r="M216" s="158"/>
      <c r="O216" s="57"/>
    </row>
    <row r="217" ht="22.5" customHeight="1">
      <c r="A217" s="184"/>
      <c r="F217" s="10"/>
      <c r="H217" s="10"/>
      <c r="I217" s="8" t="s">
        <v>1105</v>
      </c>
      <c r="J217" s="8" t="s">
        <v>998</v>
      </c>
      <c r="M217" s="158"/>
      <c r="O217" s="57"/>
    </row>
    <row r="218" ht="22.5" customHeight="1">
      <c r="A218" s="229"/>
      <c r="F218" s="10"/>
      <c r="H218" s="10"/>
      <c r="I218" s="8" t="s">
        <v>1106</v>
      </c>
      <c r="J218" s="8" t="s">
        <v>1107</v>
      </c>
      <c r="M218" s="158"/>
      <c r="O218" s="57"/>
    </row>
    <row r="219" ht="22.5" customHeight="1">
      <c r="A219" s="230"/>
      <c r="F219" s="10"/>
      <c r="H219" s="10"/>
      <c r="I219" s="8" t="s">
        <v>1108</v>
      </c>
      <c r="J219" s="8" t="s">
        <v>1109</v>
      </c>
      <c r="M219" s="158"/>
      <c r="O219" s="57"/>
    </row>
    <row r="220" ht="22.5" customHeight="1">
      <c r="A220" s="231"/>
      <c r="F220" s="10"/>
      <c r="H220" s="10"/>
      <c r="I220" s="8" t="s">
        <v>1110</v>
      </c>
      <c r="J220" s="8" t="s">
        <v>1111</v>
      </c>
      <c r="M220" s="158"/>
      <c r="O220" s="57"/>
    </row>
    <row r="221" ht="22.5" customHeight="1">
      <c r="A221" s="232"/>
      <c r="F221" s="10"/>
      <c r="H221" s="10"/>
      <c r="I221" s="8" t="s">
        <v>1112</v>
      </c>
      <c r="J221" s="8" t="s">
        <v>1113</v>
      </c>
      <c r="M221" s="158"/>
      <c r="O221" s="57"/>
    </row>
    <row r="222" ht="22.5" customHeight="1">
      <c r="A222" s="233"/>
      <c r="F222" s="10"/>
      <c r="H222" s="10"/>
      <c r="I222" s="8" t="s">
        <v>1114</v>
      </c>
      <c r="J222" s="8" t="s">
        <v>1115</v>
      </c>
      <c r="M222" s="158"/>
      <c r="O222" s="57"/>
    </row>
    <row r="223" ht="22.5" customHeight="1">
      <c r="A223" s="234"/>
      <c r="F223" s="10"/>
      <c r="H223" s="10"/>
      <c r="I223" s="8" t="s">
        <v>1116</v>
      </c>
      <c r="J223" s="8" t="s">
        <v>1117</v>
      </c>
      <c r="M223" s="158"/>
      <c r="O223" s="57"/>
    </row>
    <row r="224" ht="22.5" customHeight="1">
      <c r="A224" s="235"/>
      <c r="F224" s="10"/>
      <c r="H224" s="10"/>
      <c r="I224" s="8" t="s">
        <v>1118</v>
      </c>
      <c r="J224" s="8" t="s">
        <v>1119</v>
      </c>
      <c r="M224" s="158"/>
      <c r="O224" s="57"/>
    </row>
    <row r="225" ht="22.5" customHeight="1">
      <c r="A225" s="236"/>
      <c r="F225" s="10"/>
      <c r="H225" s="10"/>
      <c r="I225" s="8" t="s">
        <v>1120</v>
      </c>
      <c r="J225" s="8" t="s">
        <v>1121</v>
      </c>
      <c r="M225" s="158"/>
      <c r="O225" s="57"/>
    </row>
    <row r="226" ht="22.5" customHeight="1">
      <c r="A226" s="237"/>
      <c r="F226" s="10"/>
      <c r="H226" s="10"/>
      <c r="I226" s="8" t="s">
        <v>1122</v>
      </c>
      <c r="J226" s="8" t="s">
        <v>1123</v>
      </c>
      <c r="M226" s="158"/>
      <c r="O226" s="57"/>
    </row>
    <row r="227" ht="22.5" customHeight="1">
      <c r="A227" s="238"/>
      <c r="F227" s="10"/>
      <c r="H227" s="10"/>
      <c r="I227" s="8" t="s">
        <v>1124</v>
      </c>
      <c r="J227" s="8" t="s">
        <v>1125</v>
      </c>
      <c r="M227" s="158"/>
      <c r="O227" s="57"/>
    </row>
    <row r="228" ht="22.5" customHeight="1">
      <c r="A228" s="239"/>
      <c r="F228" s="10"/>
      <c r="H228" s="10"/>
      <c r="I228" s="6" t="s">
        <v>1126</v>
      </c>
      <c r="J228" s="8" t="s">
        <v>1127</v>
      </c>
      <c r="M228" s="158"/>
      <c r="O228" s="57"/>
    </row>
    <row r="229" ht="22.5" customHeight="1">
      <c r="A229" s="240"/>
      <c r="F229" s="10"/>
      <c r="H229" s="10"/>
      <c r="I229" s="8" t="s">
        <v>1128</v>
      </c>
      <c r="J229" s="8" t="s">
        <v>1129</v>
      </c>
      <c r="M229" s="158"/>
      <c r="O229" s="57"/>
    </row>
    <row r="230" ht="22.5" customHeight="1">
      <c r="A230" s="241"/>
      <c r="F230" s="10"/>
      <c r="H230" s="10"/>
      <c r="I230" s="8" t="s">
        <v>1130</v>
      </c>
      <c r="J230" s="8" t="s">
        <v>1131</v>
      </c>
      <c r="M230" s="158"/>
      <c r="O230" s="57"/>
    </row>
    <row r="231" ht="22.5" customHeight="1">
      <c r="A231" s="242"/>
      <c r="F231" s="10"/>
      <c r="H231" s="10"/>
      <c r="I231" s="8" t="s">
        <v>1132</v>
      </c>
      <c r="J231" s="8" t="s">
        <v>1133</v>
      </c>
      <c r="M231" s="158"/>
      <c r="O231" s="57"/>
    </row>
    <row r="232" ht="22.5" customHeight="1">
      <c r="A232" s="243"/>
      <c r="F232" s="10"/>
      <c r="H232" s="10"/>
      <c r="I232" s="8" t="s">
        <v>1134</v>
      </c>
      <c r="J232" s="8" t="s">
        <v>1135</v>
      </c>
      <c r="M232" s="158"/>
      <c r="O232" s="57"/>
    </row>
    <row r="233" ht="22.5" customHeight="1">
      <c r="A233" s="244"/>
      <c r="F233" s="10"/>
      <c r="H233" s="10"/>
      <c r="I233" s="8" t="s">
        <v>1136</v>
      </c>
      <c r="J233" s="8" t="s">
        <v>1137</v>
      </c>
      <c r="M233" s="158"/>
      <c r="O233" s="57"/>
    </row>
    <row r="234" ht="22.5" customHeight="1">
      <c r="A234" s="245"/>
      <c r="F234" s="10"/>
      <c r="H234" s="10"/>
      <c r="I234" s="8" t="s">
        <v>1138</v>
      </c>
      <c r="J234" s="8" t="s">
        <v>1139</v>
      </c>
      <c r="M234" s="158"/>
      <c r="O234" s="57"/>
    </row>
    <row r="235" ht="22.5" customHeight="1">
      <c r="A235" s="246"/>
      <c r="F235" s="10"/>
      <c r="H235" s="10"/>
      <c r="I235" s="8" t="s">
        <v>1140</v>
      </c>
      <c r="J235" s="8" t="s">
        <v>1141</v>
      </c>
      <c r="M235" s="158"/>
      <c r="O235" s="57"/>
    </row>
    <row r="236" ht="22.5" customHeight="1">
      <c r="A236" s="247"/>
      <c r="F236" s="10"/>
      <c r="H236" s="10"/>
      <c r="I236" s="8" t="s">
        <v>1142</v>
      </c>
      <c r="J236" s="8" t="s">
        <v>1143</v>
      </c>
      <c r="M236" s="158"/>
      <c r="O236" s="57"/>
    </row>
    <row r="237" ht="22.5" customHeight="1">
      <c r="A237" s="248"/>
      <c r="F237" s="10"/>
      <c r="H237" s="10"/>
      <c r="I237" s="8" t="s">
        <v>1144</v>
      </c>
      <c r="J237" s="8" t="s">
        <v>1145</v>
      </c>
      <c r="M237" s="158"/>
      <c r="O237" s="57"/>
    </row>
    <row r="238" ht="22.5" customHeight="1">
      <c r="A238" s="249"/>
      <c r="F238" s="10"/>
      <c r="H238" s="10"/>
      <c r="I238" s="8" t="s">
        <v>1146</v>
      </c>
      <c r="J238" s="8" t="s">
        <v>1147</v>
      </c>
      <c r="M238" s="158"/>
      <c r="O238" s="57"/>
    </row>
    <row r="239" ht="22.5" customHeight="1">
      <c r="A239" s="250"/>
      <c r="F239" s="10"/>
      <c r="H239" s="10"/>
      <c r="I239" s="8" t="s">
        <v>1148</v>
      </c>
      <c r="J239" s="8" t="s">
        <v>1149</v>
      </c>
      <c r="M239" s="158"/>
      <c r="O239" s="57"/>
    </row>
    <row r="240" ht="22.5" customHeight="1">
      <c r="A240" s="251"/>
      <c r="F240" s="10"/>
      <c r="H240" s="10"/>
      <c r="I240" s="8" t="s">
        <v>1150</v>
      </c>
      <c r="J240" s="8" t="s">
        <v>1151</v>
      </c>
      <c r="M240" s="158"/>
      <c r="O240" s="57"/>
    </row>
    <row r="241" ht="22.5" customHeight="1">
      <c r="A241" s="252"/>
      <c r="F241" s="10"/>
      <c r="H241" s="10"/>
      <c r="I241" s="8" t="s">
        <v>1152</v>
      </c>
      <c r="J241" s="8" t="s">
        <v>1153</v>
      </c>
      <c r="M241" s="158"/>
      <c r="O241" s="57"/>
    </row>
    <row r="242" ht="22.5" customHeight="1">
      <c r="A242" s="253"/>
      <c r="F242" s="10"/>
      <c r="H242" s="10"/>
      <c r="I242" s="8" t="s">
        <v>1154</v>
      </c>
      <c r="J242" s="8" t="s">
        <v>1155</v>
      </c>
      <c r="M242" s="158"/>
      <c r="O242" s="57"/>
    </row>
    <row r="243" ht="22.5" customHeight="1">
      <c r="A243" s="254"/>
      <c r="F243" s="10"/>
      <c r="H243" s="10"/>
      <c r="I243" s="8" t="s">
        <v>1156</v>
      </c>
      <c r="J243" s="8" t="s">
        <v>1157</v>
      </c>
      <c r="M243" s="158"/>
      <c r="O243" s="57"/>
    </row>
    <row r="244" ht="22.5" customHeight="1">
      <c r="A244" s="255"/>
      <c r="F244" s="10"/>
      <c r="H244" s="10"/>
      <c r="I244" s="8" t="s">
        <v>1158</v>
      </c>
      <c r="J244" s="8" t="s">
        <v>1159</v>
      </c>
      <c r="M244" s="158"/>
      <c r="O244" s="57"/>
    </row>
    <row r="245" ht="22.5" customHeight="1">
      <c r="A245" s="256"/>
      <c r="F245" s="10"/>
      <c r="H245" s="10"/>
      <c r="I245" s="8" t="s">
        <v>1160</v>
      </c>
      <c r="J245" s="8" t="s">
        <v>1161</v>
      </c>
      <c r="M245" s="158"/>
      <c r="O245" s="57"/>
    </row>
    <row r="246" ht="22.5" customHeight="1">
      <c r="A246" s="257"/>
      <c r="F246" s="10"/>
      <c r="H246" s="10"/>
      <c r="I246" s="8" t="s">
        <v>1162</v>
      </c>
      <c r="J246" s="8" t="s">
        <v>1163</v>
      </c>
      <c r="M246" s="158"/>
      <c r="O246" s="57"/>
    </row>
    <row r="247" ht="22.5" customHeight="1">
      <c r="A247" s="258"/>
      <c r="F247" s="10"/>
      <c r="H247" s="10"/>
      <c r="I247" s="8" t="s">
        <v>1164</v>
      </c>
      <c r="J247" s="8" t="s">
        <v>1165</v>
      </c>
      <c r="M247" s="158"/>
      <c r="O247" s="57"/>
    </row>
    <row r="248" ht="22.5" customHeight="1">
      <c r="A248" s="259"/>
      <c r="F248" s="10"/>
      <c r="H248" s="10"/>
      <c r="I248" s="8" t="s">
        <v>1166</v>
      </c>
      <c r="J248" s="8" t="s">
        <v>1167</v>
      </c>
      <c r="M248" s="158"/>
      <c r="O248" s="57"/>
    </row>
    <row r="249" ht="22.5" customHeight="1">
      <c r="A249" s="260"/>
      <c r="F249" s="10"/>
      <c r="H249" s="10"/>
      <c r="I249" s="8" t="s">
        <v>1168</v>
      </c>
      <c r="J249" s="8" t="s">
        <v>1169</v>
      </c>
      <c r="M249" s="158"/>
      <c r="O249" s="57"/>
    </row>
    <row r="250" ht="22.5" customHeight="1">
      <c r="A250" s="261"/>
      <c r="F250" s="10"/>
      <c r="H250" s="10"/>
      <c r="I250" s="8" t="s">
        <v>1170</v>
      </c>
      <c r="J250" s="8" t="s">
        <v>1171</v>
      </c>
      <c r="M250" s="158"/>
      <c r="O250" s="57"/>
    </row>
    <row r="251" ht="22.5" customHeight="1">
      <c r="A251" s="262"/>
      <c r="F251" s="10"/>
      <c r="H251" s="10"/>
      <c r="I251" s="8" t="s">
        <v>1172</v>
      </c>
      <c r="J251" s="8" t="s">
        <v>1173</v>
      </c>
      <c r="M251" s="158"/>
      <c r="O251" s="57"/>
    </row>
    <row r="252" ht="22.5" customHeight="1">
      <c r="A252" s="263"/>
      <c r="F252" s="10"/>
      <c r="H252" s="10"/>
      <c r="I252" s="8" t="s">
        <v>1174</v>
      </c>
      <c r="J252" s="8" t="s">
        <v>1175</v>
      </c>
      <c r="M252" s="158"/>
      <c r="O252" s="57"/>
    </row>
    <row r="253" ht="22.5" customHeight="1">
      <c r="A253" s="264"/>
      <c r="F253" s="10"/>
      <c r="H253" s="10"/>
      <c r="I253" s="8" t="s">
        <v>1176</v>
      </c>
      <c r="J253" s="8" t="s">
        <v>1177</v>
      </c>
      <c r="M253" s="158"/>
      <c r="O253" s="57"/>
    </row>
    <row r="254" ht="22.5" customHeight="1">
      <c r="A254" s="265"/>
      <c r="F254" s="10"/>
      <c r="H254" s="158"/>
      <c r="I254" s="162" t="s">
        <v>1178</v>
      </c>
      <c r="J254" s="8" t="s">
        <v>1179</v>
      </c>
      <c r="M254" s="158"/>
      <c r="O254" s="57"/>
    </row>
    <row r="255" ht="22.5" customHeight="1">
      <c r="A255" s="266"/>
      <c r="F255" s="10"/>
      <c r="H255" s="158"/>
      <c r="I255" s="162" t="s">
        <v>1180</v>
      </c>
      <c r="J255" s="8" t="s">
        <v>1181</v>
      </c>
      <c r="M255" s="158"/>
      <c r="O255" s="57"/>
    </row>
    <row r="256" ht="22.5" customHeight="1">
      <c r="A256" s="267"/>
      <c r="F256" s="10"/>
      <c r="H256" s="158"/>
      <c r="I256" s="162" t="s">
        <v>1182</v>
      </c>
      <c r="J256" s="8" t="s">
        <v>1183</v>
      </c>
      <c r="M256" s="158"/>
      <c r="O256" s="57"/>
    </row>
    <row r="257" ht="22.5" customHeight="1">
      <c r="A257" s="268"/>
      <c r="F257" s="10"/>
      <c r="H257" s="158"/>
      <c r="I257" s="162" t="s">
        <v>1184</v>
      </c>
      <c r="J257" s="8" t="s">
        <v>1185</v>
      </c>
      <c r="M257" s="158"/>
      <c r="O257" s="57"/>
    </row>
    <row r="258" ht="22.5" customHeight="1">
      <c r="A258" s="269"/>
      <c r="F258" s="10"/>
      <c r="H258" s="10"/>
      <c r="I258" s="8" t="s">
        <v>1186</v>
      </c>
      <c r="J258" s="8" t="s">
        <v>1187</v>
      </c>
      <c r="M258" s="158"/>
      <c r="O258" s="57"/>
    </row>
    <row r="259" ht="22.5" customHeight="1">
      <c r="A259" s="270"/>
      <c r="F259" s="10"/>
      <c r="H259" s="10"/>
      <c r="I259" s="8" t="s">
        <v>1188</v>
      </c>
      <c r="J259" s="8" t="s">
        <v>1189</v>
      </c>
      <c r="M259" s="158"/>
      <c r="O259" s="57"/>
    </row>
    <row r="260" ht="22.5" customHeight="1">
      <c r="A260" s="271"/>
      <c r="F260" s="10"/>
      <c r="H260" s="10"/>
      <c r="I260" s="8" t="s">
        <v>1190</v>
      </c>
      <c r="J260" s="8" t="s">
        <v>1191</v>
      </c>
      <c r="M260" s="158"/>
      <c r="O260" s="57"/>
    </row>
    <row r="261" ht="22.5" customHeight="1">
      <c r="A261" s="272"/>
      <c r="F261" s="10"/>
      <c r="H261" s="10"/>
      <c r="I261" s="8" t="s">
        <v>1192</v>
      </c>
      <c r="J261" s="8" t="s">
        <v>1193</v>
      </c>
      <c r="M261" s="158"/>
      <c r="O261" s="57"/>
    </row>
    <row r="262" ht="22.5" customHeight="1">
      <c r="A262" s="273"/>
      <c r="F262" s="10"/>
      <c r="H262" s="10"/>
      <c r="I262" s="8" t="s">
        <v>1194</v>
      </c>
      <c r="J262" s="8" t="s">
        <v>1195</v>
      </c>
      <c r="M262" s="158"/>
      <c r="O262" s="57"/>
    </row>
    <row r="263" ht="22.5" customHeight="1">
      <c r="A263" s="274"/>
      <c r="F263" s="10"/>
      <c r="H263" s="10"/>
      <c r="I263" s="8" t="s">
        <v>1196</v>
      </c>
      <c r="J263" s="8" t="s">
        <v>1197</v>
      </c>
      <c r="M263" s="158"/>
      <c r="O263" s="57"/>
    </row>
    <row r="264" ht="22.5" customHeight="1">
      <c r="A264" s="275"/>
      <c r="F264" s="10"/>
      <c r="H264" s="10"/>
      <c r="I264" s="8" t="s">
        <v>1198</v>
      </c>
      <c r="J264" s="8" t="s">
        <v>1199</v>
      </c>
      <c r="M264" s="158"/>
      <c r="O264" s="57"/>
    </row>
    <row r="265" ht="22.5" customHeight="1">
      <c r="A265" s="276"/>
      <c r="F265" s="10"/>
      <c r="H265" s="10"/>
      <c r="I265" s="8" t="s">
        <v>1200</v>
      </c>
      <c r="J265" s="8" t="s">
        <v>1201</v>
      </c>
      <c r="M265" s="158"/>
      <c r="O265" s="57"/>
    </row>
    <row r="266" ht="22.5" customHeight="1">
      <c r="A266" s="277"/>
      <c r="F266" s="10"/>
      <c r="H266" s="10"/>
      <c r="I266" s="8" t="s">
        <v>1202</v>
      </c>
      <c r="J266" s="8" t="s">
        <v>1203</v>
      </c>
      <c r="M266" s="158"/>
      <c r="O266" s="57"/>
    </row>
    <row r="267" ht="22.5" customHeight="1">
      <c r="A267" s="278"/>
      <c r="F267" s="10"/>
      <c r="H267" s="10"/>
      <c r="I267" s="8" t="s">
        <v>1204</v>
      </c>
      <c r="J267" s="8" t="s">
        <v>1205</v>
      </c>
      <c r="M267" s="158"/>
      <c r="O267" s="57"/>
    </row>
    <row r="268" ht="22.5" customHeight="1">
      <c r="A268" s="279"/>
      <c r="F268" s="10"/>
      <c r="H268" s="10"/>
      <c r="I268" s="8" t="s">
        <v>1206</v>
      </c>
      <c r="J268" s="8" t="s">
        <v>1207</v>
      </c>
      <c r="M268" s="158"/>
      <c r="O268" s="9" t="s">
        <v>1208</v>
      </c>
    </row>
    <row r="269" ht="22.5" customHeight="1">
      <c r="A269" s="280"/>
      <c r="F269" s="10"/>
      <c r="H269" s="10"/>
      <c r="I269" s="8" t="s">
        <v>1209</v>
      </c>
      <c r="J269" s="8" t="s">
        <v>1210</v>
      </c>
      <c r="M269" s="158"/>
      <c r="O269" s="9" t="s">
        <v>1211</v>
      </c>
    </row>
    <row r="270" ht="22.5" customHeight="1">
      <c r="A270" s="281"/>
      <c r="F270" s="10"/>
      <c r="H270" s="10"/>
      <c r="I270" s="8" t="s">
        <v>1212</v>
      </c>
      <c r="J270" s="8" t="s">
        <v>1213</v>
      </c>
      <c r="M270" s="158"/>
      <c r="O270" s="57"/>
    </row>
    <row r="271" ht="22.5" customHeight="1">
      <c r="A271" s="282" t="s">
        <v>14</v>
      </c>
      <c r="B271" s="6" t="s">
        <v>28</v>
      </c>
      <c r="C271" s="6" t="s">
        <v>1214</v>
      </c>
      <c r="D271" s="6" t="s">
        <v>28</v>
      </c>
      <c r="F271" s="10"/>
      <c r="G271" s="6" t="s">
        <v>28</v>
      </c>
      <c r="H271" s="10"/>
      <c r="I271" s="10"/>
      <c r="J271" s="10"/>
      <c r="K271" s="6" t="s">
        <v>28</v>
      </c>
      <c r="L271" s="6" t="s">
        <v>28</v>
      </c>
      <c r="M271" s="162" t="s">
        <v>28</v>
      </c>
      <c r="N271" s="6" t="s">
        <v>1215</v>
      </c>
      <c r="O271" s="9" t="s">
        <v>1216</v>
      </c>
    </row>
    <row r="272" ht="22.5" customHeight="1">
      <c r="A272" s="81" t="s">
        <v>14</v>
      </c>
      <c r="B272" s="6" t="s">
        <v>28</v>
      </c>
      <c r="C272" s="6" t="s">
        <v>1217</v>
      </c>
      <c r="D272" s="6" t="s">
        <v>28</v>
      </c>
      <c r="F272" s="10"/>
      <c r="G272" s="6" t="s">
        <v>28</v>
      </c>
      <c r="H272" s="10"/>
      <c r="I272" s="10"/>
      <c r="J272" s="10"/>
      <c r="K272" s="6" t="s">
        <v>28</v>
      </c>
      <c r="L272" s="6" t="s">
        <v>28</v>
      </c>
      <c r="M272" s="162" t="s">
        <v>28</v>
      </c>
      <c r="N272" s="6" t="s">
        <v>28</v>
      </c>
      <c r="O272" s="9" t="s">
        <v>1218</v>
      </c>
    </row>
    <row r="273" ht="22.5" customHeight="1">
      <c r="A273" s="283" t="s">
        <v>14</v>
      </c>
      <c r="B273" s="6" t="s">
        <v>468</v>
      </c>
      <c r="C273" s="6" t="s">
        <v>1219</v>
      </c>
      <c r="D273" s="6" t="s">
        <v>28</v>
      </c>
      <c r="F273" s="10"/>
      <c r="G273" s="6" t="s">
        <v>28</v>
      </c>
      <c r="H273" s="10"/>
      <c r="I273" s="10"/>
      <c r="J273" s="10"/>
      <c r="K273" s="6" t="s">
        <v>28</v>
      </c>
      <c r="L273" s="6" t="s">
        <v>28</v>
      </c>
      <c r="M273" s="162" t="s">
        <v>28</v>
      </c>
      <c r="N273" s="6" t="s">
        <v>28</v>
      </c>
      <c r="O273" s="9" t="s">
        <v>1220</v>
      </c>
    </row>
    <row r="274" ht="22.5" customHeight="1">
      <c r="A274" s="106" t="s">
        <v>14</v>
      </c>
      <c r="B274" s="6" t="s">
        <v>199</v>
      </c>
      <c r="C274" s="6" t="s">
        <v>1221</v>
      </c>
      <c r="D274" s="6" t="s">
        <v>28</v>
      </c>
      <c r="F274" s="10"/>
      <c r="G274" s="6" t="s">
        <v>28</v>
      </c>
      <c r="H274" s="10"/>
      <c r="I274" s="10"/>
      <c r="J274" s="10"/>
      <c r="K274" s="6" t="s">
        <v>28</v>
      </c>
      <c r="L274" s="6" t="s">
        <v>28</v>
      </c>
      <c r="M274" s="162" t="s">
        <v>28</v>
      </c>
      <c r="N274" s="6" t="s">
        <v>28</v>
      </c>
      <c r="O274" s="9" t="s">
        <v>814</v>
      </c>
    </row>
    <row r="275">
      <c r="F275" s="10"/>
      <c r="H275" s="10"/>
      <c r="I275" s="10"/>
      <c r="J275" s="10"/>
      <c r="M275" s="158"/>
      <c r="O275" s="57"/>
    </row>
    <row r="276">
      <c r="F276" s="10"/>
      <c r="H276" s="10"/>
      <c r="I276" s="10"/>
      <c r="J276" s="10"/>
      <c r="M276" s="158"/>
      <c r="O276" s="57"/>
    </row>
    <row r="277">
      <c r="F277" s="10"/>
      <c r="H277" s="10"/>
      <c r="I277" s="10"/>
      <c r="J277" s="10"/>
      <c r="M277" s="158"/>
      <c r="O277" s="57"/>
    </row>
    <row r="278">
      <c r="F278" s="10"/>
      <c r="H278" s="10"/>
      <c r="I278" s="10"/>
      <c r="J278" s="10"/>
      <c r="M278" s="158"/>
      <c r="O278" s="57"/>
    </row>
    <row r="279">
      <c r="F279" s="10"/>
      <c r="H279" s="10"/>
      <c r="I279" s="10"/>
      <c r="J279" s="10"/>
      <c r="M279" s="158"/>
      <c r="O279" s="57"/>
    </row>
    <row r="280">
      <c r="F280" s="10"/>
      <c r="H280" s="10"/>
      <c r="I280" s="10"/>
      <c r="J280" s="10"/>
      <c r="M280" s="158"/>
      <c r="O280" s="57"/>
    </row>
    <row r="281">
      <c r="F281" s="10"/>
      <c r="H281" s="10"/>
      <c r="I281" s="10"/>
      <c r="J281" s="10"/>
      <c r="M281" s="158"/>
      <c r="O281" s="57"/>
    </row>
    <row r="282">
      <c r="F282" s="10"/>
      <c r="H282" s="10"/>
      <c r="I282" s="10"/>
      <c r="J282" s="10"/>
      <c r="M282" s="158"/>
      <c r="O282" s="57"/>
    </row>
    <row r="283">
      <c r="F283" s="10"/>
      <c r="H283" s="10"/>
      <c r="I283" s="10"/>
      <c r="J283" s="10"/>
      <c r="M283" s="158"/>
      <c r="O283" s="57"/>
    </row>
    <row r="284">
      <c r="F284" s="10"/>
      <c r="H284" s="10"/>
      <c r="I284" s="10"/>
      <c r="J284" s="10"/>
      <c r="M284" s="158"/>
      <c r="O284" s="57"/>
    </row>
    <row r="285">
      <c r="F285" s="10"/>
      <c r="H285" s="10"/>
      <c r="I285" s="10"/>
      <c r="J285" s="10"/>
      <c r="M285" s="158"/>
      <c r="O285" s="57"/>
    </row>
    <row r="286">
      <c r="F286" s="10"/>
      <c r="H286" s="10"/>
      <c r="I286" s="10"/>
      <c r="J286" s="10"/>
      <c r="M286" s="158"/>
      <c r="O286" s="57"/>
    </row>
    <row r="287">
      <c r="F287" s="10"/>
      <c r="H287" s="10"/>
      <c r="I287" s="10"/>
      <c r="J287" s="10"/>
      <c r="M287" s="158"/>
      <c r="O287" s="57"/>
    </row>
    <row r="288">
      <c r="A288" s="6" t="s">
        <v>1222</v>
      </c>
      <c r="F288" s="10"/>
      <c r="H288" s="10"/>
      <c r="I288" s="10"/>
      <c r="J288" s="10"/>
      <c r="M288" s="158"/>
      <c r="O288" s="57"/>
    </row>
    <row r="289">
      <c r="A289" s="285" t="s">
        <v>1223</v>
      </c>
      <c r="M289" s="158"/>
      <c r="O289" s="57"/>
    </row>
    <row r="290">
      <c r="F290" s="10"/>
      <c r="H290" s="10"/>
      <c r="I290" s="10"/>
      <c r="J290" s="10"/>
      <c r="M290" s="158"/>
      <c r="O290" s="57"/>
    </row>
    <row r="291">
      <c r="F291" s="10"/>
      <c r="H291" s="10"/>
      <c r="I291" s="10"/>
      <c r="J291" s="10"/>
      <c r="M291" s="158"/>
      <c r="O291" s="57"/>
    </row>
    <row r="292">
      <c r="F292" s="10"/>
      <c r="H292" s="10"/>
      <c r="I292" s="10"/>
      <c r="J292" s="10"/>
      <c r="M292" s="158"/>
      <c r="O292" s="57"/>
    </row>
    <row r="293">
      <c r="F293" s="10"/>
      <c r="H293" s="10"/>
      <c r="I293" s="10"/>
      <c r="J293" s="10"/>
      <c r="M293" s="158"/>
      <c r="O293" s="57"/>
    </row>
    <row r="294">
      <c r="F294" s="10"/>
      <c r="H294" s="10"/>
      <c r="I294" s="10"/>
      <c r="J294" s="10"/>
      <c r="M294" s="158"/>
      <c r="O294" s="57"/>
    </row>
    <row r="295">
      <c r="F295" s="10"/>
      <c r="H295" s="10"/>
      <c r="I295" s="10"/>
      <c r="J295" s="10"/>
      <c r="M295" s="158"/>
      <c r="O295" s="57"/>
    </row>
  </sheetData>
  <autoFilter ref="$A$1:$Y$295"/>
  <mergeCells count="1">
    <mergeCell ref="A289:J289"/>
  </mergeCells>
  <hyperlinks>
    <hyperlink r:id="rId1" ref="A28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25"/>
    <col customWidth="1" min="2" max="4" width="15.13"/>
    <col customWidth="1" hidden="1" min="5" max="5" width="15.13"/>
    <col customWidth="1" min="6" max="6" width="9.75"/>
    <col customWidth="1" min="7" max="7" width="15.13"/>
    <col customWidth="1" min="8" max="8" width="8.38"/>
    <col customWidth="1" min="9" max="9" width="15.13"/>
    <col customWidth="1" min="10" max="10" width="7.5"/>
    <col customWidth="1" min="11" max="12" width="15.13"/>
    <col customWidth="1" min="13" max="13" width="12.25"/>
    <col customWidth="1" min="14" max="2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107"/>
      <c r="F2" s="10"/>
      <c r="G2" s="6" t="s">
        <v>815</v>
      </c>
      <c r="H2" s="8" t="s">
        <v>816</v>
      </c>
      <c r="I2" s="10"/>
      <c r="J2" s="10"/>
      <c r="O2" s="57"/>
    </row>
    <row r="3" ht="22.5" customHeight="1">
      <c r="A3" s="72" t="s">
        <v>14</v>
      </c>
      <c r="B3" s="6" t="s">
        <v>28</v>
      </c>
      <c r="C3" s="6" t="s">
        <v>571</v>
      </c>
      <c r="D3" s="6" t="s">
        <v>572</v>
      </c>
      <c r="E3" s="7" t="str">
        <f>IFERROR(__xludf.DUMMYFUNCTION("""72."" &amp;+ REGEXEXTRACT(D3, ""\((\d*)\)"")"),"72.058")</f>
        <v>72.058</v>
      </c>
      <c r="F3" s="8" t="s">
        <v>573</v>
      </c>
      <c r="G3" s="6" t="s">
        <v>574</v>
      </c>
      <c r="H3" s="8" t="s">
        <v>575</v>
      </c>
      <c r="I3" s="10"/>
      <c r="J3" s="10"/>
      <c r="K3" s="6" t="s">
        <v>28</v>
      </c>
      <c r="L3" s="6" t="s">
        <v>576</v>
      </c>
      <c r="M3" s="6" t="s">
        <v>28</v>
      </c>
      <c r="N3" s="6" t="s">
        <v>577</v>
      </c>
      <c r="O3" s="9" t="s">
        <v>578</v>
      </c>
    </row>
    <row r="4" ht="22.5" customHeight="1">
      <c r="A4" s="108"/>
      <c r="F4" s="10"/>
      <c r="G4" s="6" t="s">
        <v>817</v>
      </c>
      <c r="H4" s="8" t="s">
        <v>818</v>
      </c>
      <c r="I4" s="10"/>
      <c r="J4" s="10"/>
      <c r="O4" s="57"/>
    </row>
    <row r="5" ht="22.5" customHeight="1">
      <c r="A5" s="49" t="s">
        <v>14</v>
      </c>
      <c r="B5" s="6" t="s">
        <v>398</v>
      </c>
      <c r="C5" s="6" t="s">
        <v>399</v>
      </c>
      <c r="D5" s="6" t="s">
        <v>400</v>
      </c>
      <c r="E5" s="7" t="str">
        <f>IFERROR(__xludf.DUMMYFUNCTION("""72."" &amp;+ REGEXEXTRACT(D5, ""\((\d*)\)"")"),"72.041")</f>
        <v>72.041</v>
      </c>
      <c r="F5" s="8" t="s">
        <v>401</v>
      </c>
      <c r="G5" s="6" t="s">
        <v>402</v>
      </c>
      <c r="H5" s="8" t="s">
        <v>403</v>
      </c>
      <c r="I5" s="10"/>
      <c r="J5" s="10"/>
      <c r="K5" s="6" t="s">
        <v>28</v>
      </c>
      <c r="L5" s="6" t="s">
        <v>404</v>
      </c>
      <c r="M5" s="6" t="s">
        <v>28</v>
      </c>
      <c r="N5" s="6" t="s">
        <v>405</v>
      </c>
      <c r="O5" s="9" t="s">
        <v>406</v>
      </c>
    </row>
    <row r="6" ht="22.5" customHeight="1">
      <c r="A6" s="45" t="s">
        <v>14</v>
      </c>
      <c r="B6" s="6" t="s">
        <v>358</v>
      </c>
      <c r="C6" s="6" t="s">
        <v>359</v>
      </c>
      <c r="D6" s="6" t="s">
        <v>360</v>
      </c>
      <c r="E6" s="7" t="str">
        <f>IFERROR(__xludf.DUMMYFUNCTION("""72."" &amp;+ REGEXEXTRACT(D6, ""\((\d*)\)"")"),"72.037")</f>
        <v>72.037</v>
      </c>
      <c r="F6" s="8" t="s">
        <v>361</v>
      </c>
      <c r="G6" s="6" t="s">
        <v>362</v>
      </c>
      <c r="H6" s="8" t="s">
        <v>363</v>
      </c>
      <c r="I6" s="10"/>
      <c r="J6" s="10"/>
      <c r="K6" s="6" t="s">
        <v>364</v>
      </c>
      <c r="L6" s="6" t="s">
        <v>365</v>
      </c>
      <c r="M6" s="6" t="s">
        <v>28</v>
      </c>
      <c r="N6" s="6" t="s">
        <v>366</v>
      </c>
      <c r="O6" s="9" t="s">
        <v>367</v>
      </c>
    </row>
    <row r="7" ht="22.5" customHeight="1">
      <c r="A7" s="97" t="s">
        <v>14</v>
      </c>
      <c r="B7" s="6" t="s">
        <v>749</v>
      </c>
      <c r="C7" s="6" t="s">
        <v>750</v>
      </c>
      <c r="D7" s="6" t="s">
        <v>751</v>
      </c>
      <c r="E7" s="7" t="str">
        <f>IFERROR(__xludf.DUMMYFUNCTION("""72."" &amp;+ REGEXEXTRACT(D7, ""\((\d*)\)"")"),"72.152")</f>
        <v>72.152</v>
      </c>
      <c r="F7" s="8" t="s">
        <v>752</v>
      </c>
      <c r="G7" s="6" t="s">
        <v>753</v>
      </c>
      <c r="H7" s="8" t="s">
        <v>754</v>
      </c>
      <c r="I7" s="10"/>
      <c r="J7" s="10"/>
      <c r="K7" s="6" t="s">
        <v>28</v>
      </c>
      <c r="L7" s="6" t="s">
        <v>103</v>
      </c>
      <c r="M7" s="6" t="s">
        <v>28</v>
      </c>
      <c r="N7" s="6" t="s">
        <v>28</v>
      </c>
      <c r="O7" s="9" t="s">
        <v>755</v>
      </c>
    </row>
    <row r="8" ht="22.5" customHeight="1">
      <c r="A8" s="43" t="s">
        <v>14</v>
      </c>
      <c r="B8" s="6" t="s">
        <v>340</v>
      </c>
      <c r="C8" s="6" t="s">
        <v>341</v>
      </c>
      <c r="D8" s="6" t="s">
        <v>342</v>
      </c>
      <c r="E8" s="7" t="str">
        <f>IFERROR(__xludf.DUMMYFUNCTION("""72."" &amp;+ REGEXEXTRACT(D8, ""\((\d*)\)"")"),"72.035")</f>
        <v>72.035</v>
      </c>
      <c r="F8" s="8" t="s">
        <v>343</v>
      </c>
      <c r="G8" s="6" t="s">
        <v>344</v>
      </c>
      <c r="H8" s="8" t="s">
        <v>345</v>
      </c>
      <c r="I8" s="10"/>
      <c r="J8" s="10"/>
      <c r="K8" s="6" t="s">
        <v>346</v>
      </c>
      <c r="L8" s="6" t="s">
        <v>347</v>
      </c>
      <c r="M8" s="6" t="s">
        <v>28</v>
      </c>
      <c r="N8" s="6" t="s">
        <v>348</v>
      </c>
      <c r="O8" s="9" t="s">
        <v>349</v>
      </c>
    </row>
    <row r="9" ht="22.5" customHeight="1">
      <c r="A9" s="56" t="s">
        <v>14</v>
      </c>
      <c r="B9" s="6" t="s">
        <v>468</v>
      </c>
      <c r="C9" s="6" t="s">
        <v>469</v>
      </c>
      <c r="D9" s="6" t="s">
        <v>470</v>
      </c>
      <c r="E9" s="7" t="str">
        <f>IFERROR(__xludf.DUMMYFUNCTION("""72."" &amp;+ REGEXEXTRACT(D9, ""\((\d*)\)"")"),"72.048")</f>
        <v>72.048</v>
      </c>
      <c r="F9" s="8" t="s">
        <v>471</v>
      </c>
      <c r="G9" s="6" t="s">
        <v>472</v>
      </c>
      <c r="H9" s="8" t="s">
        <v>473</v>
      </c>
      <c r="I9" s="10"/>
      <c r="J9" s="10"/>
      <c r="K9" s="6" t="s">
        <v>28</v>
      </c>
      <c r="L9" s="6" t="s">
        <v>474</v>
      </c>
      <c r="M9" s="6" t="s">
        <v>28</v>
      </c>
      <c r="N9" s="6" t="s">
        <v>475</v>
      </c>
      <c r="O9" s="57"/>
    </row>
    <row r="10" ht="22.5" customHeight="1">
      <c r="A10" s="28" t="s">
        <v>14</v>
      </c>
      <c r="B10" s="6" t="s">
        <v>199</v>
      </c>
      <c r="C10" s="6" t="s">
        <v>200</v>
      </c>
      <c r="D10" s="6" t="s">
        <v>201</v>
      </c>
      <c r="E10" s="7" t="str">
        <f>IFERROR(__xludf.DUMMYFUNCTION("""72."" &amp;+ REGEXEXTRACT(D10, ""\((\d*)\)"")"),"72.020")</f>
        <v>72.020</v>
      </c>
      <c r="F10" s="8" t="s">
        <v>202</v>
      </c>
      <c r="G10" s="6" t="s">
        <v>203</v>
      </c>
      <c r="H10" s="8" t="s">
        <v>204</v>
      </c>
      <c r="I10" s="10"/>
      <c r="J10" s="10"/>
      <c r="K10" s="6" t="s">
        <v>28</v>
      </c>
      <c r="L10" s="6" t="s">
        <v>205</v>
      </c>
      <c r="M10" s="6" t="s">
        <v>28</v>
      </c>
      <c r="N10" s="6" t="s">
        <v>206</v>
      </c>
      <c r="O10" s="9" t="s">
        <v>207</v>
      </c>
    </row>
    <row r="11" ht="22.5" customHeight="1">
      <c r="A11" s="23" t="s">
        <v>14</v>
      </c>
      <c r="B11" s="6" t="s">
        <v>156</v>
      </c>
      <c r="C11" s="6" t="s">
        <v>157</v>
      </c>
      <c r="D11" s="6" t="s">
        <v>158</v>
      </c>
      <c r="E11" s="7" t="str">
        <f>IFERROR(__xludf.DUMMYFUNCTION("""72."" &amp;+ REGEXEXTRACT(D11, ""\((\d*)\)"")"),"72.015")</f>
        <v>72.015</v>
      </c>
      <c r="F11" s="8" t="s">
        <v>159</v>
      </c>
      <c r="G11" s="6" t="s">
        <v>168</v>
      </c>
      <c r="H11" s="8" t="s">
        <v>169</v>
      </c>
      <c r="I11" s="10"/>
      <c r="J11" s="10"/>
      <c r="K11" s="6" t="s">
        <v>160</v>
      </c>
      <c r="L11" s="6" t="s">
        <v>161</v>
      </c>
      <c r="M11" s="6" t="s">
        <v>162</v>
      </c>
      <c r="N11" s="6" t="s">
        <v>163</v>
      </c>
      <c r="O11" s="9" t="s">
        <v>164</v>
      </c>
    </row>
    <row r="12" ht="22.5" customHeight="1">
      <c r="A12" s="24"/>
      <c r="B12" s="6" t="s">
        <v>28</v>
      </c>
      <c r="C12" s="6" t="s">
        <v>165</v>
      </c>
      <c r="D12" s="6" t="s">
        <v>166</v>
      </c>
      <c r="E12" s="7" t="str">
        <f>IFERROR(__xludf.DUMMYFUNCTION("""72."" &amp;+ REGEXEXTRACT(D12, ""\((\d*)\)"")"),"72.016")</f>
        <v>72.016</v>
      </c>
      <c r="F12" s="8" t="s">
        <v>167</v>
      </c>
      <c r="G12" s="6" t="s">
        <v>168</v>
      </c>
      <c r="H12" s="8" t="s">
        <v>169</v>
      </c>
      <c r="I12" s="10"/>
      <c r="J12" s="10"/>
      <c r="K12" s="6" t="s">
        <v>28</v>
      </c>
      <c r="L12" s="6" t="s">
        <v>170</v>
      </c>
      <c r="M12" s="6" t="s">
        <v>28</v>
      </c>
      <c r="N12" s="6" t="s">
        <v>171</v>
      </c>
      <c r="O12" s="9" t="s">
        <v>172</v>
      </c>
    </row>
    <row r="13" ht="22.5" customHeight="1">
      <c r="A13" s="109"/>
      <c r="F13" s="10"/>
      <c r="G13" s="6" t="s">
        <v>821</v>
      </c>
      <c r="H13" s="8" t="s">
        <v>822</v>
      </c>
      <c r="I13" s="10"/>
      <c r="J13" s="10"/>
      <c r="O13" s="57"/>
    </row>
    <row r="14" ht="22.5" customHeight="1">
      <c r="A14" s="110"/>
      <c r="F14" s="10"/>
      <c r="G14" s="6" t="s">
        <v>823</v>
      </c>
      <c r="H14" s="8" t="s">
        <v>824</v>
      </c>
      <c r="I14" s="10"/>
      <c r="J14" s="10"/>
      <c r="O14" s="57"/>
    </row>
    <row r="15" ht="22.5" customHeight="1">
      <c r="F15" s="10"/>
      <c r="H15" s="8" t="s">
        <v>825</v>
      </c>
      <c r="I15" s="10"/>
      <c r="J15" s="10"/>
      <c r="O15" s="57"/>
    </row>
    <row r="16" ht="22.5" customHeight="1">
      <c r="A16" s="111"/>
      <c r="F16" s="10"/>
      <c r="G16" s="6" t="s">
        <v>826</v>
      </c>
      <c r="H16" s="8" t="s">
        <v>827</v>
      </c>
      <c r="I16" s="10"/>
      <c r="J16" s="10"/>
      <c r="O16" s="57"/>
    </row>
    <row r="17" ht="22.5" customHeight="1">
      <c r="A17" s="112"/>
      <c r="F17" s="10"/>
      <c r="G17" s="6" t="s">
        <v>828</v>
      </c>
      <c r="H17" s="8" t="s">
        <v>829</v>
      </c>
      <c r="I17" s="10"/>
      <c r="J17" s="10"/>
      <c r="O17" s="57"/>
    </row>
    <row r="18" ht="22.5" customHeight="1">
      <c r="A18" s="113"/>
      <c r="F18" s="10"/>
      <c r="G18" s="6" t="s">
        <v>830</v>
      </c>
      <c r="H18" s="8" t="s">
        <v>831</v>
      </c>
      <c r="I18" s="8" t="s">
        <v>832</v>
      </c>
      <c r="J18" s="8" t="s">
        <v>833</v>
      </c>
      <c r="O18" s="57"/>
    </row>
    <row r="19" ht="22.5" customHeight="1">
      <c r="A19" s="17" t="s">
        <v>14</v>
      </c>
      <c r="B19" s="6" t="s">
        <v>94</v>
      </c>
      <c r="C19" s="6" t="s">
        <v>95</v>
      </c>
      <c r="D19" s="6" t="s">
        <v>96</v>
      </c>
      <c r="E19" s="7" t="str">
        <f>IFERROR(__xludf.DUMMYFUNCTION("""72."" &amp;+ REGEXEXTRACT(D19, ""\((\d*)\)"")"),"72.009")</f>
        <v>72.009</v>
      </c>
      <c r="F19" s="8" t="s">
        <v>97</v>
      </c>
      <c r="G19" s="6" t="s">
        <v>98</v>
      </c>
      <c r="H19" s="8" t="s">
        <v>99</v>
      </c>
      <c r="I19" s="8" t="s">
        <v>100</v>
      </c>
      <c r="J19" s="8" t="s">
        <v>101</v>
      </c>
      <c r="K19" s="6" t="s">
        <v>102</v>
      </c>
      <c r="L19" s="6" t="s">
        <v>103</v>
      </c>
      <c r="M19" s="6" t="s">
        <v>28</v>
      </c>
      <c r="N19" s="6" t="s">
        <v>104</v>
      </c>
      <c r="O19" s="9" t="s">
        <v>105</v>
      </c>
    </row>
    <row r="20" ht="22.5" customHeight="1">
      <c r="A20" s="114"/>
      <c r="F20" s="10"/>
      <c r="G20" s="6" t="s">
        <v>834</v>
      </c>
      <c r="H20" s="8" t="s">
        <v>835</v>
      </c>
      <c r="I20" s="10"/>
      <c r="J20" s="10"/>
      <c r="O20" s="57"/>
    </row>
    <row r="21" ht="22.5" customHeight="1">
      <c r="A21" s="115"/>
      <c r="F21" s="10"/>
      <c r="G21" s="6" t="s">
        <v>836</v>
      </c>
      <c r="H21" s="8" t="s">
        <v>837</v>
      </c>
      <c r="I21" s="8" t="s">
        <v>838</v>
      </c>
      <c r="J21" s="8" t="s">
        <v>839</v>
      </c>
      <c r="O21" s="57"/>
    </row>
    <row r="22" ht="22.5" customHeight="1">
      <c r="A22" s="116"/>
      <c r="F22" s="10"/>
      <c r="G22" s="6" t="s">
        <v>840</v>
      </c>
      <c r="H22" s="8" t="s">
        <v>841</v>
      </c>
      <c r="I22" s="10"/>
      <c r="J22" s="10"/>
      <c r="O22" s="57"/>
    </row>
    <row r="23" ht="22.5" customHeight="1">
      <c r="A23" s="75" t="s">
        <v>14</v>
      </c>
      <c r="B23" s="6" t="s">
        <v>593</v>
      </c>
      <c r="C23" s="6" t="s">
        <v>594</v>
      </c>
      <c r="D23" s="6" t="s">
        <v>595</v>
      </c>
      <c r="E23" s="7" t="str">
        <f>IFERROR(__xludf.DUMMYFUNCTION("""72."" &amp;+ REGEXEXTRACT(D23, ""\((\d*)\)"")"),"72.061")</f>
        <v>72.061</v>
      </c>
      <c r="F23" s="8" t="s">
        <v>596</v>
      </c>
      <c r="G23" s="6" t="s">
        <v>597</v>
      </c>
      <c r="H23" s="8" t="s">
        <v>598</v>
      </c>
      <c r="I23" s="8" t="s">
        <v>599</v>
      </c>
      <c r="J23" s="8" t="s">
        <v>600</v>
      </c>
      <c r="K23" s="6" t="s">
        <v>28</v>
      </c>
      <c r="L23" s="6" t="s">
        <v>601</v>
      </c>
      <c r="M23" s="6" t="s">
        <v>28</v>
      </c>
      <c r="N23" s="6" t="s">
        <v>28</v>
      </c>
      <c r="O23" s="9" t="s">
        <v>602</v>
      </c>
    </row>
    <row r="24" ht="22.5" customHeight="1">
      <c r="A24" s="117"/>
      <c r="F24" s="10"/>
      <c r="H24" s="8" t="s">
        <v>842</v>
      </c>
      <c r="I24" s="10"/>
      <c r="J24" s="10"/>
      <c r="O24" s="57"/>
    </row>
    <row r="25" ht="22.5" customHeight="1">
      <c r="A25" s="91" t="s">
        <v>14</v>
      </c>
      <c r="B25" s="6" t="s">
        <v>705</v>
      </c>
      <c r="C25" s="6" t="s">
        <v>706</v>
      </c>
      <c r="D25" s="6" t="s">
        <v>707</v>
      </c>
      <c r="E25" s="7" t="str">
        <f>IFERROR(__xludf.DUMMYFUNCTION("""72."" &amp;+ REGEXEXTRACT(D25, ""\((\d*)\)"")"),"72.146")</f>
        <v>72.146</v>
      </c>
      <c r="F25" s="8" t="s">
        <v>708</v>
      </c>
      <c r="G25" s="6" t="s">
        <v>709</v>
      </c>
      <c r="H25" s="8" t="s">
        <v>710</v>
      </c>
      <c r="I25" s="8" t="s">
        <v>711</v>
      </c>
      <c r="J25" s="8" t="s">
        <v>712</v>
      </c>
      <c r="K25" s="6" t="s">
        <v>28</v>
      </c>
      <c r="L25" s="6" t="s">
        <v>713</v>
      </c>
      <c r="M25" s="6" t="s">
        <v>28</v>
      </c>
      <c r="N25" s="6" t="s">
        <v>28</v>
      </c>
      <c r="O25" s="9" t="s">
        <v>714</v>
      </c>
    </row>
    <row r="26" ht="22.5" customHeight="1">
      <c r="A26" s="118"/>
      <c r="F26" s="10"/>
      <c r="H26" s="8" t="s">
        <v>843</v>
      </c>
      <c r="I26" s="10"/>
      <c r="J26" s="10"/>
      <c r="O26" s="57"/>
    </row>
    <row r="27" ht="22.5" customHeight="1">
      <c r="A27" s="119"/>
      <c r="F27" s="10"/>
      <c r="H27" s="8" t="s">
        <v>844</v>
      </c>
      <c r="I27" s="8" t="s">
        <v>845</v>
      </c>
      <c r="J27" s="8" t="s">
        <v>846</v>
      </c>
      <c r="O27" s="57"/>
    </row>
    <row r="28" ht="22.5" customHeight="1">
      <c r="A28" s="120"/>
      <c r="F28" s="10"/>
      <c r="G28" s="6" t="s">
        <v>847</v>
      </c>
      <c r="H28" s="8" t="s">
        <v>848</v>
      </c>
      <c r="I28" s="10"/>
      <c r="J28" s="10"/>
      <c r="O28" s="57"/>
    </row>
    <row r="29" ht="22.5" customHeight="1">
      <c r="A29" s="121"/>
      <c r="F29" s="10"/>
      <c r="G29" s="6" t="s">
        <v>849</v>
      </c>
      <c r="H29" s="8" t="s">
        <v>850</v>
      </c>
      <c r="I29" s="10"/>
      <c r="J29" s="10"/>
      <c r="O29" s="57"/>
    </row>
    <row r="30" ht="22.5" customHeight="1">
      <c r="A30" s="122"/>
      <c r="F30" s="10"/>
      <c r="G30" s="6" t="s">
        <v>851</v>
      </c>
      <c r="H30" s="8" t="s">
        <v>852</v>
      </c>
      <c r="I30" s="10"/>
      <c r="J30" s="10"/>
      <c r="O30" s="57"/>
    </row>
    <row r="31" ht="22.5" customHeight="1">
      <c r="A31" s="123"/>
      <c r="F31" s="10"/>
      <c r="G31" s="6" t="s">
        <v>853</v>
      </c>
      <c r="H31" s="8" t="s">
        <v>854</v>
      </c>
      <c r="I31" s="10"/>
      <c r="J31" s="10"/>
      <c r="O31" s="57"/>
    </row>
    <row r="32" ht="22.5" customHeight="1">
      <c r="A32" s="124"/>
      <c r="F32" s="10"/>
      <c r="H32" s="8" t="s">
        <v>855</v>
      </c>
      <c r="I32" s="8" t="s">
        <v>856</v>
      </c>
      <c r="J32" s="8" t="s">
        <v>857</v>
      </c>
      <c r="O32" s="57"/>
    </row>
    <row r="33" ht="22.5" customHeight="1">
      <c r="A33" s="125"/>
      <c r="F33" s="10"/>
      <c r="G33" s="6" t="s">
        <v>858</v>
      </c>
      <c r="H33" s="8" t="s">
        <v>859</v>
      </c>
      <c r="I33" s="10"/>
      <c r="J33" s="10"/>
      <c r="O33" s="57"/>
    </row>
    <row r="34" ht="22.5" customHeight="1">
      <c r="A34" s="126"/>
      <c r="F34" s="10"/>
      <c r="G34" s="6" t="s">
        <v>860</v>
      </c>
      <c r="H34" s="8" t="s">
        <v>861</v>
      </c>
      <c r="I34" s="10"/>
      <c r="J34" s="10"/>
      <c r="O34" s="57"/>
    </row>
    <row r="35" ht="22.5" customHeight="1">
      <c r="A35" s="127"/>
      <c r="F35" s="10"/>
      <c r="H35" s="8" t="s">
        <v>862</v>
      </c>
      <c r="I35" s="8" t="s">
        <v>863</v>
      </c>
      <c r="J35" s="8" t="s">
        <v>864</v>
      </c>
      <c r="O35" s="57"/>
    </row>
    <row r="36" ht="22.5" customHeight="1">
      <c r="A36" s="128"/>
      <c r="F36" s="10"/>
      <c r="G36" s="6" t="s">
        <v>865</v>
      </c>
      <c r="H36" s="8" t="s">
        <v>866</v>
      </c>
      <c r="I36" s="10"/>
      <c r="J36" s="10"/>
      <c r="O36" s="57"/>
    </row>
    <row r="37" ht="22.5" customHeight="1">
      <c r="A37" s="129"/>
      <c r="F37" s="10"/>
      <c r="G37" s="6" t="s">
        <v>867</v>
      </c>
      <c r="H37" s="8" t="s">
        <v>868</v>
      </c>
      <c r="I37" s="10"/>
      <c r="J37" s="10"/>
      <c r="O37" s="57"/>
    </row>
    <row r="38" ht="22.5" customHeight="1">
      <c r="A38" s="130"/>
      <c r="F38" s="10"/>
      <c r="G38" s="6" t="s">
        <v>869</v>
      </c>
      <c r="H38" s="8" t="s">
        <v>870</v>
      </c>
      <c r="I38" s="10"/>
      <c r="J38" s="10"/>
      <c r="O38" s="57"/>
    </row>
    <row r="39" ht="22.5" customHeight="1">
      <c r="A39" s="131"/>
      <c r="F39" s="10"/>
      <c r="G39" s="6" t="s">
        <v>871</v>
      </c>
      <c r="H39" s="8" t="s">
        <v>872</v>
      </c>
      <c r="I39" s="10"/>
      <c r="J39" s="10"/>
      <c r="O39" s="57"/>
    </row>
    <row r="40" ht="22.5" customHeight="1">
      <c r="A40" s="35" t="s">
        <v>14</v>
      </c>
      <c r="B40" s="6" t="s">
        <v>28</v>
      </c>
      <c r="C40" s="6" t="s">
        <v>260</v>
      </c>
      <c r="D40" s="6" t="s">
        <v>261</v>
      </c>
      <c r="E40" s="7" t="str">
        <f>IFERROR(__xludf.DUMMYFUNCTION("""72."" &amp;+ REGEXEXTRACT(D40, ""\((\d*)\)"")"),"72.027")</f>
        <v>72.027</v>
      </c>
      <c r="F40" s="8" t="s">
        <v>262</v>
      </c>
      <c r="G40" s="6" t="s">
        <v>263</v>
      </c>
      <c r="H40" s="8" t="s">
        <v>264</v>
      </c>
      <c r="I40" s="10"/>
      <c r="J40" s="10"/>
      <c r="K40" s="6" t="s">
        <v>265</v>
      </c>
      <c r="L40" s="6" t="s">
        <v>266</v>
      </c>
      <c r="M40" s="6" t="s">
        <v>28</v>
      </c>
      <c r="N40" s="6" t="s">
        <v>28</v>
      </c>
      <c r="O40" s="9" t="s">
        <v>267</v>
      </c>
    </row>
    <row r="41" ht="22.5" customHeight="1">
      <c r="A41" s="30" t="s">
        <v>14</v>
      </c>
      <c r="B41" s="6" t="s">
        <v>218</v>
      </c>
      <c r="C41" s="6" t="s">
        <v>219</v>
      </c>
      <c r="D41" s="6" t="s">
        <v>220</v>
      </c>
      <c r="E41" s="7" t="str">
        <f>IFERROR(__xludf.DUMMYFUNCTION("""72."" &amp;+ REGEXEXTRACT(D41, ""\((\d*)\)"")"),"72.022")</f>
        <v>72.022</v>
      </c>
      <c r="F41" s="8" t="s">
        <v>221</v>
      </c>
      <c r="G41" s="6" t="s">
        <v>222</v>
      </c>
      <c r="H41" s="8" t="s">
        <v>223</v>
      </c>
      <c r="I41" s="10"/>
      <c r="J41" s="10"/>
      <c r="K41" s="6" t="s">
        <v>224</v>
      </c>
      <c r="L41" s="6" t="s">
        <v>225</v>
      </c>
      <c r="M41" s="6" t="s">
        <v>28</v>
      </c>
      <c r="N41" s="6" t="s">
        <v>226</v>
      </c>
      <c r="O41" s="9" t="s">
        <v>227</v>
      </c>
    </row>
    <row r="42" ht="22.5" customHeight="1">
      <c r="A42" s="32" t="s">
        <v>14</v>
      </c>
      <c r="B42" s="6" t="s">
        <v>237</v>
      </c>
      <c r="C42" s="6" t="s">
        <v>238</v>
      </c>
      <c r="D42" s="6" t="s">
        <v>239</v>
      </c>
      <c r="E42" s="7" t="str">
        <f>IFERROR(__xludf.DUMMYFUNCTION("""72."" &amp;+ REGEXEXTRACT(D42, ""\((\d*)\)"")"),"72.024")</f>
        <v>72.024</v>
      </c>
      <c r="F42" s="8" t="s">
        <v>240</v>
      </c>
      <c r="G42" s="6" t="s">
        <v>241</v>
      </c>
      <c r="H42" s="8" t="s">
        <v>242</v>
      </c>
      <c r="I42" s="10"/>
      <c r="J42" s="10"/>
      <c r="K42" s="6" t="s">
        <v>243</v>
      </c>
      <c r="L42" s="6" t="s">
        <v>244</v>
      </c>
      <c r="M42" s="6" t="s">
        <v>28</v>
      </c>
      <c r="N42" s="6" t="s">
        <v>245</v>
      </c>
      <c r="O42" s="9" t="s">
        <v>246</v>
      </c>
    </row>
    <row r="43" ht="22.5" customHeight="1">
      <c r="A43" s="34"/>
      <c r="B43" s="6" t="s">
        <v>28</v>
      </c>
      <c r="C43" s="6" t="s">
        <v>254</v>
      </c>
      <c r="D43" s="6" t="s">
        <v>255</v>
      </c>
      <c r="E43" s="7" t="str">
        <f>IFERROR(__xludf.DUMMYFUNCTION("""72."" &amp;+ REGEXEXTRACT(D43, ""\((\d*)\)"")"),"72.026")</f>
        <v>72.026</v>
      </c>
      <c r="F43" s="8" t="s">
        <v>256</v>
      </c>
      <c r="G43" s="6" t="s">
        <v>241</v>
      </c>
      <c r="H43" s="8" t="s">
        <v>242</v>
      </c>
      <c r="I43" s="10"/>
      <c r="J43" s="10"/>
      <c r="K43" s="6" t="s">
        <v>28</v>
      </c>
      <c r="L43" s="6" t="s">
        <v>257</v>
      </c>
      <c r="M43" s="6" t="s">
        <v>28</v>
      </c>
      <c r="N43" s="6" t="s">
        <v>258</v>
      </c>
      <c r="O43" s="9" t="s">
        <v>259</v>
      </c>
    </row>
    <row r="44" ht="22.5" customHeight="1">
      <c r="A44" s="132"/>
      <c r="F44" s="10"/>
      <c r="G44" s="6" t="s">
        <v>873</v>
      </c>
      <c r="H44" s="8" t="s">
        <v>874</v>
      </c>
      <c r="I44" s="10"/>
      <c r="J44" s="10"/>
      <c r="O44" s="57"/>
    </row>
    <row r="45" ht="22.5" customHeight="1">
      <c r="A45" s="133"/>
      <c r="F45" s="10"/>
      <c r="G45" s="6" t="s">
        <v>875</v>
      </c>
      <c r="H45" s="8" t="s">
        <v>876</v>
      </c>
      <c r="I45" s="10"/>
      <c r="J45" s="10"/>
      <c r="O45" s="57"/>
    </row>
    <row r="46" ht="22.5" customHeight="1">
      <c r="A46" s="134"/>
      <c r="F46" s="10"/>
      <c r="H46" s="8" t="s">
        <v>877</v>
      </c>
      <c r="I46" s="8" t="s">
        <v>878</v>
      </c>
      <c r="J46" s="8" t="s">
        <v>879</v>
      </c>
      <c r="O46" s="57"/>
    </row>
    <row r="47" ht="22.5" customHeight="1">
      <c r="A47" s="135"/>
      <c r="F47" s="10"/>
      <c r="H47" s="8" t="s">
        <v>880</v>
      </c>
      <c r="I47" s="8" t="s">
        <v>881</v>
      </c>
      <c r="J47" s="8" t="s">
        <v>882</v>
      </c>
      <c r="O47" s="57"/>
    </row>
    <row r="48" ht="22.5" customHeight="1">
      <c r="A48" s="136"/>
      <c r="F48" s="10"/>
      <c r="G48" s="6" t="s">
        <v>883</v>
      </c>
      <c r="H48" s="8" t="s">
        <v>884</v>
      </c>
      <c r="I48" s="10"/>
      <c r="J48" s="10"/>
      <c r="O48" s="57"/>
    </row>
    <row r="49" ht="22.5" customHeight="1">
      <c r="A49" s="52" t="s">
        <v>14</v>
      </c>
      <c r="B49" s="6" t="s">
        <v>429</v>
      </c>
      <c r="C49" s="6" t="s">
        <v>430</v>
      </c>
      <c r="D49" s="6" t="s">
        <v>431</v>
      </c>
      <c r="E49" s="7" t="str">
        <f>IFERROR(__xludf.DUMMYFUNCTION("""72."" &amp;+ REGEXEXTRACT(D49, ""\((\d*)\)"")"),"72.044")</f>
        <v>72.044</v>
      </c>
      <c r="F49" s="8" t="s">
        <v>432</v>
      </c>
      <c r="G49" s="6" t="s">
        <v>433</v>
      </c>
      <c r="H49" s="8" t="s">
        <v>434</v>
      </c>
      <c r="I49" s="10"/>
      <c r="J49" s="10"/>
      <c r="K49" s="6" t="s">
        <v>435</v>
      </c>
      <c r="L49" s="6" t="s">
        <v>436</v>
      </c>
      <c r="M49" s="6" t="s">
        <v>28</v>
      </c>
      <c r="N49" s="6" t="s">
        <v>28</v>
      </c>
      <c r="O49" s="9" t="s">
        <v>437</v>
      </c>
    </row>
    <row r="50" ht="22.5" customHeight="1">
      <c r="A50" s="137"/>
      <c r="F50" s="10"/>
      <c r="G50" s="6" t="s">
        <v>885</v>
      </c>
      <c r="H50" s="8" t="s">
        <v>886</v>
      </c>
      <c r="I50" s="10"/>
      <c r="J50" s="10"/>
      <c r="O50" s="57"/>
    </row>
    <row r="51" ht="22.5" customHeight="1">
      <c r="A51" s="138"/>
      <c r="F51" s="10"/>
      <c r="H51" s="8" t="s">
        <v>887</v>
      </c>
      <c r="I51" s="8" t="s">
        <v>888</v>
      </c>
      <c r="J51" s="8" t="s">
        <v>889</v>
      </c>
      <c r="O51" s="57"/>
    </row>
    <row r="52" ht="22.5" customHeight="1">
      <c r="A52" s="139"/>
      <c r="F52" s="10"/>
      <c r="G52" s="6" t="s">
        <v>890</v>
      </c>
      <c r="H52" s="8" t="s">
        <v>891</v>
      </c>
      <c r="I52" s="10"/>
      <c r="J52" s="10"/>
      <c r="O52" s="57"/>
    </row>
    <row r="53" ht="22.5" customHeight="1">
      <c r="F53" s="10"/>
      <c r="G53" s="6" t="s">
        <v>892</v>
      </c>
      <c r="H53" s="8" t="s">
        <v>893</v>
      </c>
      <c r="I53" s="10"/>
      <c r="J53" s="10"/>
      <c r="O53" s="57"/>
    </row>
    <row r="54" ht="22.5" customHeight="1">
      <c r="A54" s="140"/>
      <c r="F54" s="10"/>
      <c r="G54" s="6" t="s">
        <v>894</v>
      </c>
      <c r="H54" s="8" t="s">
        <v>895</v>
      </c>
      <c r="I54" s="10"/>
      <c r="J54" s="10"/>
      <c r="O54" s="57"/>
    </row>
    <row r="55" ht="22.5" customHeight="1">
      <c r="A55" s="141"/>
      <c r="F55" s="10"/>
      <c r="G55" s="6" t="s">
        <v>896</v>
      </c>
      <c r="H55" s="8" t="s">
        <v>897</v>
      </c>
      <c r="I55" s="10"/>
      <c r="J55" s="10"/>
      <c r="O55" s="57"/>
    </row>
    <row r="56" ht="22.5" customHeight="1">
      <c r="A56" s="96" t="s">
        <v>14</v>
      </c>
      <c r="B56" s="6" t="s">
        <v>388</v>
      </c>
      <c r="C56" s="6" t="s">
        <v>735</v>
      </c>
      <c r="D56" s="6" t="s">
        <v>736</v>
      </c>
      <c r="E56" s="7" t="str">
        <f>IFERROR(__xludf.DUMMYFUNCTION("""72."" &amp;+ REGEXEXTRACT(D56, ""\((\d*)\)"")"),"72.150")</f>
        <v>72.150</v>
      </c>
      <c r="F56" s="8" t="s">
        <v>737</v>
      </c>
      <c r="G56" s="6" t="s">
        <v>738</v>
      </c>
      <c r="H56" s="8" t="s">
        <v>739</v>
      </c>
      <c r="I56" s="10"/>
      <c r="J56" s="10"/>
      <c r="K56" s="6" t="s">
        <v>28</v>
      </c>
      <c r="L56" s="6" t="s">
        <v>740</v>
      </c>
      <c r="M56" s="6" t="s">
        <v>28</v>
      </c>
      <c r="N56" s="6" t="s">
        <v>28</v>
      </c>
      <c r="O56" s="9" t="s">
        <v>741</v>
      </c>
    </row>
    <row r="57" ht="22.5" customHeight="1">
      <c r="A57" s="142"/>
      <c r="F57" s="10"/>
      <c r="G57" s="6" t="s">
        <v>898</v>
      </c>
      <c r="H57" s="8" t="s">
        <v>899</v>
      </c>
      <c r="I57" s="10"/>
      <c r="J57" s="10"/>
      <c r="O57" s="57"/>
    </row>
    <row r="58" ht="22.5" customHeight="1">
      <c r="A58" s="143"/>
      <c r="F58" s="10"/>
      <c r="G58" s="6" t="s">
        <v>900</v>
      </c>
      <c r="H58" s="8" t="s">
        <v>901</v>
      </c>
      <c r="I58" s="10"/>
      <c r="J58" s="10"/>
      <c r="O58" s="57"/>
    </row>
    <row r="59" ht="22.5" customHeight="1">
      <c r="A59" s="144"/>
      <c r="F59" s="10"/>
      <c r="G59" s="6" t="s">
        <v>902</v>
      </c>
      <c r="H59" s="8" t="s">
        <v>903</v>
      </c>
      <c r="I59" s="10"/>
      <c r="J59" s="10"/>
      <c r="O59" s="57"/>
    </row>
    <row r="60" ht="22.5" customHeight="1">
      <c r="A60" s="145"/>
      <c r="F60" s="10"/>
      <c r="G60" s="6" t="s">
        <v>904</v>
      </c>
      <c r="H60" s="8" t="s">
        <v>905</v>
      </c>
      <c r="I60" s="10"/>
      <c r="J60" s="10"/>
      <c r="O60" s="57"/>
    </row>
    <row r="61" ht="22.5" customHeight="1">
      <c r="A61" s="141"/>
      <c r="F61" s="10"/>
      <c r="G61" s="6" t="s">
        <v>906</v>
      </c>
      <c r="H61" s="8" t="s">
        <v>907</v>
      </c>
      <c r="I61" s="10"/>
      <c r="J61" s="10"/>
      <c r="O61" s="57"/>
    </row>
    <row r="62" ht="22.5" customHeight="1">
      <c r="A62" s="146"/>
      <c r="F62" s="10"/>
      <c r="H62" s="8" t="s">
        <v>908</v>
      </c>
      <c r="I62" s="8" t="s">
        <v>909</v>
      </c>
      <c r="J62" s="8" t="s">
        <v>910</v>
      </c>
      <c r="O62" s="57"/>
    </row>
    <row r="63" ht="22.5" customHeight="1">
      <c r="A63" s="63" t="s">
        <v>14</v>
      </c>
      <c r="B63" s="6" t="s">
        <v>531</v>
      </c>
      <c r="C63" s="6" t="s">
        <v>532</v>
      </c>
      <c r="D63" s="6" t="s">
        <v>533</v>
      </c>
      <c r="E63" s="7" t="str">
        <f>IFERROR(__xludf.DUMMYFUNCTION("""72."" &amp;+ REGEXEXTRACT(D63, ""\((\d*)\)"")"),"72.054")</f>
        <v>72.054</v>
      </c>
      <c r="F63" s="8" t="s">
        <v>534</v>
      </c>
      <c r="G63" s="6" t="s">
        <v>535</v>
      </c>
      <c r="H63" s="8" t="s">
        <v>536</v>
      </c>
      <c r="I63" s="8" t="s">
        <v>537</v>
      </c>
      <c r="J63" s="8" t="s">
        <v>538</v>
      </c>
      <c r="K63" s="6" t="s">
        <v>28</v>
      </c>
      <c r="L63" s="6" t="s">
        <v>539</v>
      </c>
      <c r="M63" s="6" t="s">
        <v>28</v>
      </c>
      <c r="N63" s="6" t="s">
        <v>540</v>
      </c>
      <c r="O63" s="9" t="s">
        <v>541</v>
      </c>
    </row>
    <row r="64" ht="22.5" customHeight="1">
      <c r="A64" s="62" t="s">
        <v>14</v>
      </c>
      <c r="B64" s="6" t="s">
        <v>520</v>
      </c>
      <c r="C64" s="6" t="s">
        <v>521</v>
      </c>
      <c r="D64" s="6" t="s">
        <v>522</v>
      </c>
      <c r="E64" s="7" t="str">
        <f>IFERROR(__xludf.DUMMYFUNCTION("""72."" &amp;+ REGEXEXTRACT(D64, ""\((\d*)\)"")"),"72.053")</f>
        <v>72.053</v>
      </c>
      <c r="F64" s="8" t="s">
        <v>523</v>
      </c>
      <c r="G64" s="6" t="s">
        <v>524</v>
      </c>
      <c r="H64" s="8" t="s">
        <v>525</v>
      </c>
      <c r="I64" s="8" t="s">
        <v>526</v>
      </c>
      <c r="J64" s="8" t="s">
        <v>527</v>
      </c>
      <c r="K64" s="6" t="s">
        <v>28</v>
      </c>
      <c r="L64" s="6" t="s">
        <v>528</v>
      </c>
      <c r="M64" s="6" t="s">
        <v>28</v>
      </c>
      <c r="N64" s="6" t="s">
        <v>529</v>
      </c>
      <c r="O64" s="9" t="s">
        <v>530</v>
      </c>
    </row>
    <row r="65" ht="22.5" customHeight="1">
      <c r="A65" s="147"/>
      <c r="F65" s="10"/>
      <c r="G65" s="6" t="s">
        <v>911</v>
      </c>
      <c r="H65" s="8" t="s">
        <v>912</v>
      </c>
      <c r="I65" s="10"/>
      <c r="J65" s="10"/>
      <c r="O65" s="57"/>
    </row>
    <row r="66" ht="22.5" customHeight="1">
      <c r="A66" s="148"/>
      <c r="F66" s="10"/>
      <c r="G66" s="6" t="s">
        <v>913</v>
      </c>
      <c r="H66" s="8" t="s">
        <v>914</v>
      </c>
      <c r="I66" s="8" t="s">
        <v>915</v>
      </c>
      <c r="J66" s="8" t="s">
        <v>916</v>
      </c>
      <c r="O66" s="57"/>
    </row>
    <row r="67" ht="22.5" customHeight="1">
      <c r="A67" s="149"/>
      <c r="F67" s="10"/>
      <c r="G67" s="6" t="s">
        <v>917</v>
      </c>
      <c r="H67" s="8" t="s">
        <v>918</v>
      </c>
      <c r="I67" s="10"/>
      <c r="J67" s="10"/>
      <c r="O67" s="57"/>
    </row>
    <row r="68" ht="22.5" customHeight="1">
      <c r="A68" s="150"/>
      <c r="F68" s="10"/>
      <c r="G68" s="6" t="s">
        <v>919</v>
      </c>
      <c r="H68" s="8" t="s">
        <v>920</v>
      </c>
      <c r="I68" s="8" t="s">
        <v>921</v>
      </c>
      <c r="J68" s="8" t="s">
        <v>922</v>
      </c>
      <c r="O68" s="57"/>
    </row>
    <row r="69" ht="22.5" customHeight="1">
      <c r="A69" s="59" t="s">
        <v>14</v>
      </c>
      <c r="B69" s="6" t="s">
        <v>484</v>
      </c>
      <c r="C69" s="6" t="s">
        <v>485</v>
      </c>
      <c r="D69" s="6" t="s">
        <v>486</v>
      </c>
      <c r="E69" s="7" t="str">
        <f>IFERROR(__xludf.DUMMYFUNCTION("""72."" &amp;+ REGEXEXTRACT(D69, ""\((\d*)\)"")"),"72.050")</f>
        <v>72.050</v>
      </c>
      <c r="F69" s="8" t="s">
        <v>487</v>
      </c>
      <c r="G69" s="6" t="s">
        <v>488</v>
      </c>
      <c r="H69" s="8" t="s">
        <v>489</v>
      </c>
      <c r="I69" s="8" t="s">
        <v>490</v>
      </c>
      <c r="J69" s="8" t="s">
        <v>491</v>
      </c>
      <c r="K69" s="6" t="s">
        <v>492</v>
      </c>
      <c r="L69" s="6" t="s">
        <v>493</v>
      </c>
      <c r="M69" s="6" t="s">
        <v>28</v>
      </c>
      <c r="N69" s="6" t="s">
        <v>28</v>
      </c>
      <c r="O69" s="9" t="s">
        <v>494</v>
      </c>
    </row>
    <row r="70" ht="22.5" customHeight="1">
      <c r="A70" s="151"/>
      <c r="F70" s="10"/>
      <c r="G70" s="6" t="s">
        <v>923</v>
      </c>
      <c r="H70" s="8" t="s">
        <v>924</v>
      </c>
      <c r="I70" s="10"/>
      <c r="J70" s="10"/>
      <c r="O70" s="57"/>
    </row>
    <row r="71" ht="22.5" customHeight="1">
      <c r="A71" s="152"/>
      <c r="F71" s="10"/>
      <c r="G71" s="6" t="s">
        <v>925</v>
      </c>
      <c r="H71" s="8" t="s">
        <v>926</v>
      </c>
      <c r="I71" s="10"/>
      <c r="J71" s="10"/>
      <c r="O71" s="57"/>
    </row>
    <row r="72" ht="22.5" customHeight="1">
      <c r="A72" s="153"/>
      <c r="F72" s="10"/>
      <c r="G72" s="6" t="s">
        <v>927</v>
      </c>
      <c r="H72" s="8" t="s">
        <v>928</v>
      </c>
      <c r="I72" s="10"/>
      <c r="J72" s="10"/>
      <c r="O72" s="57"/>
    </row>
    <row r="73" ht="22.5" customHeight="1">
      <c r="A73" s="98" t="s">
        <v>14</v>
      </c>
      <c r="B73" s="6" t="s">
        <v>756</v>
      </c>
      <c r="C73" s="6" t="s">
        <v>757</v>
      </c>
      <c r="D73" s="6" t="s">
        <v>758</v>
      </c>
      <c r="E73" s="7" t="str">
        <f>IFERROR(__xludf.DUMMYFUNCTION("""72."" &amp;+ REGEXEXTRACT(D73, ""\((\d*)\)"")"),"72.153")</f>
        <v>72.153</v>
      </c>
      <c r="F73" s="8" t="s">
        <v>759</v>
      </c>
      <c r="G73" s="6" t="s">
        <v>760</v>
      </c>
      <c r="H73" s="8" t="s">
        <v>761</v>
      </c>
      <c r="I73" s="8" t="s">
        <v>762</v>
      </c>
      <c r="J73" s="8" t="s">
        <v>763</v>
      </c>
      <c r="K73" s="6" t="s">
        <v>28</v>
      </c>
      <c r="L73" s="6" t="s">
        <v>764</v>
      </c>
      <c r="M73" s="6" t="s">
        <v>28</v>
      </c>
      <c r="N73" s="6" t="s">
        <v>28</v>
      </c>
      <c r="O73" s="99" t="s">
        <v>765</v>
      </c>
    </row>
    <row r="74" ht="22.5" customHeight="1">
      <c r="A74" s="154"/>
      <c r="F74" s="10"/>
      <c r="G74" s="6" t="s">
        <v>929</v>
      </c>
      <c r="H74" s="8" t="s">
        <v>930</v>
      </c>
      <c r="I74" s="10"/>
      <c r="J74" s="10"/>
      <c r="O74" s="57"/>
    </row>
    <row r="75" ht="22.5" customHeight="1">
      <c r="A75" s="155"/>
      <c r="F75" s="10"/>
      <c r="G75" s="6" t="s">
        <v>931</v>
      </c>
      <c r="H75" s="8" t="s">
        <v>932</v>
      </c>
      <c r="I75" s="10"/>
      <c r="J75" s="10"/>
      <c r="O75" s="57"/>
    </row>
    <row r="76" ht="22.5" customHeight="1">
      <c r="A76" s="48" t="s">
        <v>14</v>
      </c>
      <c r="B76" s="6" t="s">
        <v>388</v>
      </c>
      <c r="C76" s="6" t="s">
        <v>389</v>
      </c>
      <c r="D76" s="6" t="s">
        <v>390</v>
      </c>
      <c r="E76" s="7" t="str">
        <f>IFERROR(__xludf.DUMMYFUNCTION("""72."" &amp;+ REGEXEXTRACT(D76, ""\((\d*)\)"")"),"72.040")</f>
        <v>72.040</v>
      </c>
      <c r="F76" s="8" t="s">
        <v>391</v>
      </c>
      <c r="G76" s="6" t="s">
        <v>392</v>
      </c>
      <c r="H76" s="8" t="s">
        <v>393</v>
      </c>
      <c r="I76" s="10"/>
      <c r="J76" s="10"/>
      <c r="K76" s="6" t="s">
        <v>394</v>
      </c>
      <c r="L76" s="6" t="s">
        <v>395</v>
      </c>
      <c r="M76" s="6" t="s">
        <v>28</v>
      </c>
      <c r="N76" s="6" t="s">
        <v>396</v>
      </c>
      <c r="O76" s="9" t="s">
        <v>397</v>
      </c>
    </row>
    <row r="77" ht="22.5" customHeight="1">
      <c r="A77" s="85" t="s">
        <v>14</v>
      </c>
      <c r="B77" s="6" t="s">
        <v>662</v>
      </c>
      <c r="C77" s="6" t="s">
        <v>663</v>
      </c>
      <c r="D77" s="6" t="s">
        <v>664</v>
      </c>
      <c r="E77" s="7" t="str">
        <f>IFERROR(__xludf.DUMMYFUNCTION("""72."" &amp;+ REGEXEXTRACT(D77, ""\((\d*)\)"")"),"72.140")</f>
        <v>72.140</v>
      </c>
      <c r="F77" s="8" t="s">
        <v>665</v>
      </c>
      <c r="G77" s="6" t="s">
        <v>392</v>
      </c>
      <c r="H77" s="8" t="s">
        <v>393</v>
      </c>
      <c r="I77" s="10"/>
      <c r="J77" s="10"/>
      <c r="K77" s="6" t="s">
        <v>28</v>
      </c>
      <c r="L77" s="6" t="s">
        <v>666</v>
      </c>
      <c r="M77" s="6" t="s">
        <v>28</v>
      </c>
      <c r="N77" s="6" t="s">
        <v>28</v>
      </c>
      <c r="O77" s="9" t="s">
        <v>667</v>
      </c>
    </row>
    <row r="78" ht="22.5" customHeight="1">
      <c r="A78" s="46" t="s">
        <v>14</v>
      </c>
      <c r="B78" s="6" t="s">
        <v>28</v>
      </c>
      <c r="C78" s="6" t="s">
        <v>368</v>
      </c>
      <c r="D78" s="6" t="s">
        <v>369</v>
      </c>
      <c r="E78" s="7" t="str">
        <f>IFERROR(__xludf.DUMMYFUNCTION("""72."" &amp;+ REGEXEXTRACT(D78, ""\((\d*)\)"")"),"72.038")</f>
        <v>72.038</v>
      </c>
      <c r="F78" s="8" t="s">
        <v>370</v>
      </c>
      <c r="G78" s="6" t="s">
        <v>371</v>
      </c>
      <c r="H78" s="8" t="s">
        <v>372</v>
      </c>
      <c r="I78" s="8" t="s">
        <v>373</v>
      </c>
      <c r="J78" s="8" t="s">
        <v>374</v>
      </c>
      <c r="K78" s="6" t="s">
        <v>28</v>
      </c>
      <c r="L78" s="6" t="s">
        <v>375</v>
      </c>
      <c r="M78" s="6" t="s">
        <v>28</v>
      </c>
      <c r="N78" s="6" t="s">
        <v>376</v>
      </c>
      <c r="O78" s="9" t="s">
        <v>377</v>
      </c>
    </row>
    <row r="79" ht="22.5" customHeight="1">
      <c r="A79" s="46" t="s">
        <v>14</v>
      </c>
      <c r="B79" s="6" t="s">
        <v>742</v>
      </c>
      <c r="C79" s="6" t="s">
        <v>743</v>
      </c>
      <c r="D79" s="6" t="s">
        <v>744</v>
      </c>
      <c r="E79" s="7" t="str">
        <f>IFERROR(__xludf.DUMMYFUNCTION("""72."" &amp;+ REGEXEXTRACT(D79, ""\((\d*)\)"")"),"72.151")</f>
        <v>72.151</v>
      </c>
      <c r="F79" s="8" t="s">
        <v>745</v>
      </c>
      <c r="G79" s="6" t="s">
        <v>746</v>
      </c>
      <c r="H79" s="8" t="s">
        <v>372</v>
      </c>
      <c r="I79" s="8" t="s">
        <v>373</v>
      </c>
      <c r="J79" s="8" t="s">
        <v>374</v>
      </c>
      <c r="K79" s="6" t="s">
        <v>28</v>
      </c>
      <c r="L79" s="6" t="s">
        <v>747</v>
      </c>
      <c r="M79" s="6" t="s">
        <v>28</v>
      </c>
      <c r="N79" s="6" t="s">
        <v>28</v>
      </c>
      <c r="O79" s="9" t="s">
        <v>748</v>
      </c>
    </row>
    <row r="80" ht="22.5" customHeight="1">
      <c r="A80" s="65" t="s">
        <v>14</v>
      </c>
      <c r="B80" s="66" t="s">
        <v>553</v>
      </c>
      <c r="C80" s="66" t="s">
        <v>554</v>
      </c>
      <c r="D80" s="66" t="s">
        <v>555</v>
      </c>
      <c r="E80" s="67" t="str">
        <f>IFERROR(__xludf.DUMMYFUNCTION("""72."" &amp;+ REGEXEXTRACT(D80, ""\((\d*)\)"")"),"72.056")</f>
        <v>72.056</v>
      </c>
      <c r="F80" s="68" t="s">
        <v>556</v>
      </c>
      <c r="G80" s="66" t="s">
        <v>557</v>
      </c>
      <c r="H80" s="68" t="s">
        <v>558</v>
      </c>
      <c r="I80" s="69"/>
      <c r="J80" s="69"/>
      <c r="K80" s="66" t="s">
        <v>28</v>
      </c>
      <c r="L80" s="66" t="s">
        <v>559</v>
      </c>
      <c r="M80" s="66" t="s">
        <v>28</v>
      </c>
      <c r="N80" s="66" t="s">
        <v>560</v>
      </c>
      <c r="O80" s="70" t="s">
        <v>561</v>
      </c>
      <c r="P80" s="95"/>
      <c r="Q80" s="95"/>
      <c r="R80" s="95"/>
      <c r="S80" s="95"/>
      <c r="T80" s="95"/>
      <c r="U80" s="95"/>
      <c r="V80" s="95"/>
      <c r="W80" s="95"/>
      <c r="X80" s="95"/>
      <c r="Y80" s="95"/>
    </row>
    <row r="81" ht="22.5" customHeight="1">
      <c r="A81" s="156"/>
      <c r="F81" s="10"/>
      <c r="G81" s="6" t="s">
        <v>933</v>
      </c>
      <c r="H81" s="157" t="s">
        <v>934</v>
      </c>
      <c r="I81" s="158"/>
      <c r="J81" s="10"/>
      <c r="O81" s="57"/>
    </row>
    <row r="82" ht="22.5" customHeight="1">
      <c r="A82" s="159"/>
      <c r="F82" s="10"/>
      <c r="G82" s="6" t="s">
        <v>935</v>
      </c>
      <c r="H82" s="160" t="s">
        <v>936</v>
      </c>
      <c r="I82" s="158"/>
      <c r="J82" s="10"/>
      <c r="O82" s="57"/>
    </row>
    <row r="83" ht="22.5" customHeight="1">
      <c r="A83" s="161"/>
      <c r="F83" s="10"/>
      <c r="G83" s="6" t="s">
        <v>937</v>
      </c>
      <c r="H83" s="157" t="s">
        <v>938</v>
      </c>
      <c r="I83" s="162" t="s">
        <v>939</v>
      </c>
      <c r="J83" s="8" t="s">
        <v>940</v>
      </c>
      <c r="O83" s="57"/>
    </row>
    <row r="84" ht="22.5" customHeight="1">
      <c r="A84" s="94" t="s">
        <v>14</v>
      </c>
      <c r="B84" s="6" t="s">
        <v>728</v>
      </c>
      <c r="C84" s="6" t="s">
        <v>729</v>
      </c>
      <c r="D84" s="6" t="s">
        <v>730</v>
      </c>
      <c r="E84" s="7" t="str">
        <f>IFERROR(__xludf.DUMMYFUNCTION("""72."" &amp;+ REGEXEXTRACT(D84, ""\((\d*)\)"")"),"72.149")</f>
        <v>72.149</v>
      </c>
      <c r="F84" s="8" t="s">
        <v>731</v>
      </c>
      <c r="G84" s="6" t="s">
        <v>732</v>
      </c>
      <c r="H84" s="8" t="s">
        <v>733</v>
      </c>
      <c r="I84" s="10"/>
      <c r="J84" s="10"/>
      <c r="K84" s="6" t="s">
        <v>28</v>
      </c>
      <c r="M84" s="6" t="s">
        <v>28</v>
      </c>
      <c r="N84" s="6" t="s">
        <v>28</v>
      </c>
      <c r="O84" s="9" t="s">
        <v>734</v>
      </c>
    </row>
    <row r="85" ht="22.5" customHeight="1">
      <c r="A85" s="163"/>
      <c r="F85" s="10"/>
      <c r="H85" s="8" t="s">
        <v>941</v>
      </c>
      <c r="I85" s="10"/>
      <c r="J85" s="10"/>
      <c r="O85" s="57"/>
    </row>
    <row r="86" ht="22.5" customHeight="1">
      <c r="A86" s="164"/>
      <c r="F86" s="10"/>
      <c r="H86" s="8" t="s">
        <v>942</v>
      </c>
      <c r="I86" s="10"/>
      <c r="J86" s="10"/>
      <c r="O86" s="57"/>
    </row>
    <row r="87" ht="22.5" customHeight="1">
      <c r="A87" s="38" t="s">
        <v>14</v>
      </c>
      <c r="B87" s="6" t="s">
        <v>291</v>
      </c>
      <c r="C87" s="6" t="s">
        <v>292</v>
      </c>
      <c r="D87" s="6" t="s">
        <v>293</v>
      </c>
      <c r="E87" s="7" t="str">
        <f>IFERROR(__xludf.DUMMYFUNCTION("""72."" &amp;+ REGEXEXTRACT(D87, ""\((\d*)\)"")"),"72.030")</f>
        <v>72.030</v>
      </c>
      <c r="F87" s="8" t="s">
        <v>294</v>
      </c>
      <c r="G87" s="6" t="s">
        <v>295</v>
      </c>
      <c r="H87" s="8" t="s">
        <v>296</v>
      </c>
      <c r="I87" s="8" t="s">
        <v>297</v>
      </c>
      <c r="J87" s="8" t="s">
        <v>298</v>
      </c>
      <c r="K87" s="6" t="s">
        <v>299</v>
      </c>
      <c r="L87" s="6" t="s">
        <v>300</v>
      </c>
      <c r="M87" s="6" t="s">
        <v>28</v>
      </c>
      <c r="N87" s="6" t="s">
        <v>301</v>
      </c>
      <c r="O87" s="9" t="s">
        <v>302</v>
      </c>
    </row>
    <row r="88" ht="22.5" customHeight="1">
      <c r="A88" s="165"/>
      <c r="F88" s="10"/>
      <c r="G88" s="6" t="s">
        <v>943</v>
      </c>
      <c r="H88" s="8" t="s">
        <v>944</v>
      </c>
      <c r="I88" s="10"/>
      <c r="J88" s="10"/>
      <c r="O88" s="57"/>
    </row>
    <row r="89" ht="22.5" customHeight="1">
      <c r="A89" s="166"/>
      <c r="F89" s="10"/>
      <c r="G89" s="6" t="s">
        <v>945</v>
      </c>
      <c r="H89" s="8" t="s">
        <v>946</v>
      </c>
      <c r="I89" s="10"/>
      <c r="J89" s="10"/>
      <c r="O89" s="57"/>
    </row>
    <row r="90" ht="22.5" customHeight="1">
      <c r="A90" s="167"/>
      <c r="F90" s="10"/>
      <c r="G90" s="6" t="s">
        <v>947</v>
      </c>
      <c r="H90" s="8" t="s">
        <v>948</v>
      </c>
      <c r="I90" s="10"/>
      <c r="J90" s="10"/>
      <c r="O90" s="57"/>
    </row>
    <row r="91" ht="22.5" customHeight="1">
      <c r="A91" s="80" t="s">
        <v>14</v>
      </c>
      <c r="B91" s="6" t="s">
        <v>631</v>
      </c>
      <c r="C91" s="6" t="s">
        <v>632</v>
      </c>
      <c r="D91" s="6" t="s">
        <v>633</v>
      </c>
      <c r="E91" s="7" t="str">
        <f>IFERROR(__xludf.DUMMYFUNCTION("""72."" &amp;+ REGEXEXTRACT(D91, ""\((\d*)\)"")"),"72.067")</f>
        <v>72.067</v>
      </c>
      <c r="F91" s="8" t="s">
        <v>634</v>
      </c>
      <c r="G91" s="6" t="s">
        <v>635</v>
      </c>
      <c r="H91" s="8" t="s">
        <v>636</v>
      </c>
      <c r="I91" s="8" t="s">
        <v>637</v>
      </c>
      <c r="J91" s="8" t="s">
        <v>638</v>
      </c>
      <c r="K91" s="6" t="s">
        <v>28</v>
      </c>
      <c r="L91" s="6" t="s">
        <v>639</v>
      </c>
      <c r="M91" s="6" t="s">
        <v>28</v>
      </c>
      <c r="N91" s="6" t="s">
        <v>28</v>
      </c>
      <c r="O91" s="9" t="s">
        <v>640</v>
      </c>
    </row>
    <row r="92" ht="22.5" customHeight="1">
      <c r="A92" s="168"/>
      <c r="F92" s="10"/>
      <c r="G92" s="6" t="s">
        <v>949</v>
      </c>
      <c r="H92" s="8" t="s">
        <v>950</v>
      </c>
      <c r="I92" s="8" t="s">
        <v>951</v>
      </c>
      <c r="J92" s="8" t="s">
        <v>952</v>
      </c>
      <c r="O92" s="57"/>
    </row>
    <row r="93" ht="22.5" customHeight="1">
      <c r="A93" s="37" t="s">
        <v>14</v>
      </c>
      <c r="B93" s="6" t="s">
        <v>279</v>
      </c>
      <c r="C93" s="6" t="s">
        <v>280</v>
      </c>
      <c r="D93" s="6" t="s">
        <v>281</v>
      </c>
      <c r="E93" s="7" t="str">
        <f>IFERROR(__xludf.DUMMYFUNCTION("""72."" &amp;+ REGEXEXTRACT(D93, ""\((\d*)\)"")"),"72.029")</f>
        <v>72.029</v>
      </c>
      <c r="F93" s="8" t="s">
        <v>282</v>
      </c>
      <c r="G93" s="6" t="s">
        <v>283</v>
      </c>
      <c r="H93" s="8" t="s">
        <v>284</v>
      </c>
      <c r="I93" s="8" t="s">
        <v>285</v>
      </c>
      <c r="J93" s="8" t="s">
        <v>286</v>
      </c>
      <c r="K93" s="6" t="s">
        <v>287</v>
      </c>
      <c r="L93" s="6" t="s">
        <v>288</v>
      </c>
      <c r="M93" s="6" t="s">
        <v>28</v>
      </c>
      <c r="N93" s="6" t="s">
        <v>289</v>
      </c>
      <c r="O93" s="9" t="s">
        <v>290</v>
      </c>
    </row>
    <row r="94" ht="22.5" customHeight="1">
      <c r="A94" s="169"/>
      <c r="F94" s="10"/>
      <c r="G94" s="6" t="s">
        <v>953</v>
      </c>
      <c r="H94" s="8" t="s">
        <v>954</v>
      </c>
      <c r="I94" s="8" t="s">
        <v>955</v>
      </c>
      <c r="J94" s="8" t="s">
        <v>956</v>
      </c>
      <c r="O94" s="57"/>
    </row>
    <row r="95" ht="22.5" customHeight="1">
      <c r="A95" s="170"/>
      <c r="F95" s="10"/>
      <c r="H95" s="8" t="s">
        <v>957</v>
      </c>
      <c r="I95" s="8" t="s">
        <v>958</v>
      </c>
      <c r="J95" s="8" t="s">
        <v>959</v>
      </c>
      <c r="O95" s="57"/>
    </row>
    <row r="96" ht="22.5" customHeight="1">
      <c r="A96" s="171"/>
      <c r="F96" s="10"/>
      <c r="H96" s="8" t="s">
        <v>960</v>
      </c>
      <c r="I96" s="8" t="s">
        <v>961</v>
      </c>
      <c r="J96" s="8" t="s">
        <v>962</v>
      </c>
      <c r="O96" s="57"/>
    </row>
    <row r="97" ht="22.5" customHeight="1">
      <c r="A97" s="172"/>
      <c r="F97" s="10"/>
      <c r="G97" s="6" t="s">
        <v>963</v>
      </c>
      <c r="H97" s="8" t="s">
        <v>964</v>
      </c>
      <c r="I97" s="10"/>
      <c r="J97" s="10"/>
      <c r="O97" s="57"/>
    </row>
    <row r="98" ht="22.5" customHeight="1">
      <c r="A98" s="173"/>
      <c r="F98" s="10"/>
      <c r="G98" s="6" t="s">
        <v>965</v>
      </c>
      <c r="H98" s="8" t="s">
        <v>966</v>
      </c>
      <c r="I98" s="10"/>
      <c r="J98" s="10"/>
      <c r="O98" s="57"/>
    </row>
    <row r="99" ht="22.5" customHeight="1">
      <c r="A99" s="174"/>
      <c r="F99" s="10"/>
      <c r="G99" s="6" t="s">
        <v>967</v>
      </c>
      <c r="H99" s="8" t="s">
        <v>968</v>
      </c>
      <c r="I99" s="6" t="s">
        <v>969</v>
      </c>
      <c r="J99" s="8" t="s">
        <v>970</v>
      </c>
      <c r="O99" s="57"/>
    </row>
    <row r="100" ht="22.5" customHeight="1">
      <c r="A100" s="175"/>
      <c r="F100" s="10"/>
      <c r="G100" s="6" t="s">
        <v>971</v>
      </c>
      <c r="H100" s="8" t="s">
        <v>972</v>
      </c>
      <c r="I100" s="8" t="s">
        <v>973</v>
      </c>
      <c r="J100" s="8" t="s">
        <v>974</v>
      </c>
      <c r="O100" s="57"/>
    </row>
    <row r="101" ht="22.5" customHeight="1">
      <c r="A101" s="27" t="s">
        <v>14</v>
      </c>
      <c r="B101" s="6" t="s">
        <v>28</v>
      </c>
      <c r="C101" s="6" t="s">
        <v>189</v>
      </c>
      <c r="D101" s="6" t="s">
        <v>190</v>
      </c>
      <c r="E101" s="7" t="str">
        <f>IFERROR(__xludf.DUMMYFUNCTION("""72."" &amp;+ REGEXEXTRACT(D101, ""\((\d*)\)"")"),"72.019")</f>
        <v>72.019</v>
      </c>
      <c r="F101" s="8" t="s">
        <v>191</v>
      </c>
      <c r="G101" s="6" t="s">
        <v>192</v>
      </c>
      <c r="H101" s="8" t="s">
        <v>193</v>
      </c>
      <c r="I101" s="8" t="s">
        <v>194</v>
      </c>
      <c r="J101" s="8" t="s">
        <v>195</v>
      </c>
      <c r="K101" s="6" t="s">
        <v>196</v>
      </c>
      <c r="L101" s="6" t="s">
        <v>197</v>
      </c>
      <c r="M101" s="6" t="s">
        <v>28</v>
      </c>
      <c r="N101" s="6" t="s">
        <v>28</v>
      </c>
      <c r="O101" s="9" t="s">
        <v>198</v>
      </c>
    </row>
    <row r="102" ht="22.5" customHeight="1">
      <c r="A102" s="176"/>
      <c r="F102" s="10"/>
      <c r="G102" s="6" t="s">
        <v>975</v>
      </c>
      <c r="H102" s="8" t="s">
        <v>976</v>
      </c>
      <c r="I102" s="10"/>
      <c r="J102" s="10"/>
      <c r="O102" s="57"/>
    </row>
    <row r="103" ht="22.5" customHeight="1">
      <c r="A103" s="177"/>
      <c r="F103" s="10"/>
      <c r="G103" s="6" t="s">
        <v>977</v>
      </c>
      <c r="H103" s="8" t="s">
        <v>978</v>
      </c>
      <c r="I103" s="10"/>
      <c r="J103" s="10"/>
      <c r="O103" s="57"/>
    </row>
    <row r="104" ht="22.5" customHeight="1">
      <c r="A104" s="84" t="s">
        <v>14</v>
      </c>
      <c r="B104" s="6" t="s">
        <v>652</v>
      </c>
      <c r="C104" s="6" t="s">
        <v>653</v>
      </c>
      <c r="D104" s="6" t="s">
        <v>654</v>
      </c>
      <c r="E104" s="7" t="str">
        <f>IFERROR(__xludf.DUMMYFUNCTION("""72."" &amp;+ REGEXEXTRACT(D104, ""\((\d*)\)"")"),"72.095")</f>
        <v>72.095</v>
      </c>
      <c r="F104" s="8" t="s">
        <v>655</v>
      </c>
      <c r="G104" s="6" t="s">
        <v>656</v>
      </c>
      <c r="H104" s="8" t="s">
        <v>657</v>
      </c>
      <c r="I104" s="8" t="s">
        <v>658</v>
      </c>
      <c r="J104" s="8" t="s">
        <v>659</v>
      </c>
      <c r="K104" s="6" t="s">
        <v>660</v>
      </c>
      <c r="L104" s="6" t="s">
        <v>28</v>
      </c>
      <c r="M104" s="6" t="s">
        <v>28</v>
      </c>
      <c r="N104" s="6" t="s">
        <v>28</v>
      </c>
      <c r="O104" s="9" t="s">
        <v>661</v>
      </c>
    </row>
    <row r="105" ht="22.5" customHeight="1">
      <c r="A105" s="178"/>
      <c r="F105" s="10"/>
      <c r="G105" s="6" t="s">
        <v>979</v>
      </c>
      <c r="H105" s="8" t="s">
        <v>980</v>
      </c>
      <c r="I105" s="10"/>
      <c r="J105" s="10"/>
      <c r="O105" s="57"/>
    </row>
    <row r="106" ht="22.5" customHeight="1">
      <c r="A106" s="179"/>
      <c r="F106" s="10"/>
      <c r="G106" s="6" t="s">
        <v>981</v>
      </c>
      <c r="H106" s="8" t="s">
        <v>982</v>
      </c>
      <c r="I106" s="8" t="s">
        <v>983</v>
      </c>
      <c r="J106" s="8" t="s">
        <v>984</v>
      </c>
      <c r="O106" s="57"/>
    </row>
    <row r="107" ht="22.5" customHeight="1">
      <c r="A107" s="89" t="s">
        <v>14</v>
      </c>
      <c r="B107" s="6" t="s">
        <v>690</v>
      </c>
      <c r="C107" s="6" t="s">
        <v>691</v>
      </c>
      <c r="D107" s="6" t="s">
        <v>692</v>
      </c>
      <c r="E107" s="7" t="str">
        <f>IFERROR(__xludf.DUMMYFUNCTION("""72."" &amp;+ REGEXEXTRACT(D107, ""\((\d*)\)"")"),"72.144")</f>
        <v>72.144</v>
      </c>
      <c r="F107" s="8" t="s">
        <v>693</v>
      </c>
      <c r="G107" s="6" t="s">
        <v>694</v>
      </c>
      <c r="H107" s="8" t="s">
        <v>695</v>
      </c>
      <c r="I107" s="10"/>
      <c r="J107" s="10"/>
      <c r="K107" s="6" t="s">
        <v>28</v>
      </c>
      <c r="L107" s="6" t="s">
        <v>482</v>
      </c>
      <c r="M107" s="6" t="s">
        <v>28</v>
      </c>
      <c r="N107" s="6" t="s">
        <v>28</v>
      </c>
      <c r="O107" s="9" t="s">
        <v>696</v>
      </c>
    </row>
    <row r="108" ht="22.5" customHeight="1">
      <c r="A108" s="180"/>
      <c r="F108" s="10"/>
      <c r="G108" s="6" t="s">
        <v>985</v>
      </c>
      <c r="H108" s="8" t="s">
        <v>986</v>
      </c>
      <c r="I108" s="8" t="s">
        <v>987</v>
      </c>
      <c r="J108" s="8" t="s">
        <v>988</v>
      </c>
      <c r="O108" s="57"/>
    </row>
    <row r="109" ht="22.5" customHeight="1">
      <c r="A109" s="55" t="s">
        <v>14</v>
      </c>
      <c r="B109" s="6" t="s">
        <v>457</v>
      </c>
      <c r="C109" s="6" t="s">
        <v>458</v>
      </c>
      <c r="D109" s="6" t="s">
        <v>459</v>
      </c>
      <c r="E109" s="7" t="str">
        <f>IFERROR(__xludf.DUMMYFUNCTION("""72."" &amp;+ REGEXEXTRACT(D109, ""\((\d*)\)"")"),"72.047")</f>
        <v>72.047</v>
      </c>
      <c r="F109" s="8" t="s">
        <v>460</v>
      </c>
      <c r="G109" s="6" t="s">
        <v>461</v>
      </c>
      <c r="H109" s="8" t="s">
        <v>462</v>
      </c>
      <c r="I109" s="8" t="s">
        <v>463</v>
      </c>
      <c r="J109" s="8" t="s">
        <v>464</v>
      </c>
      <c r="K109" s="6" t="s">
        <v>28</v>
      </c>
      <c r="L109" s="6" t="s">
        <v>465</v>
      </c>
      <c r="M109" s="6" t="s">
        <v>28</v>
      </c>
      <c r="N109" s="6" t="s">
        <v>466</v>
      </c>
      <c r="O109" s="9" t="s">
        <v>467</v>
      </c>
    </row>
    <row r="110" ht="22.5" customHeight="1">
      <c r="A110" s="58"/>
      <c r="B110" s="6" t="s">
        <v>476</v>
      </c>
      <c r="C110" s="6" t="s">
        <v>477</v>
      </c>
      <c r="D110" s="6" t="s">
        <v>478</v>
      </c>
      <c r="E110" s="7" t="str">
        <f>IFERROR(__xludf.DUMMYFUNCTION("""72."" &amp;+ REGEXEXTRACT(D110, ""\((\d*)\)"")"),"72.049")</f>
        <v>72.049</v>
      </c>
      <c r="F110" s="8" t="s">
        <v>479</v>
      </c>
      <c r="G110" s="6" t="s">
        <v>480</v>
      </c>
      <c r="H110" s="8" t="s">
        <v>462</v>
      </c>
      <c r="I110" s="8" t="s">
        <v>463</v>
      </c>
      <c r="J110" s="8" t="s">
        <v>464</v>
      </c>
      <c r="K110" s="6" t="s">
        <v>481</v>
      </c>
      <c r="L110" s="6" t="s">
        <v>482</v>
      </c>
      <c r="M110" s="6" t="s">
        <v>28</v>
      </c>
      <c r="N110" s="6" t="s">
        <v>28</v>
      </c>
      <c r="O110" s="9" t="s">
        <v>483</v>
      </c>
    </row>
    <row r="111" ht="22.5" customHeight="1">
      <c r="A111" s="20" t="s">
        <v>14</v>
      </c>
      <c r="B111" s="6" t="s">
        <v>128</v>
      </c>
      <c r="C111" s="6" t="s">
        <v>129</v>
      </c>
      <c r="D111" s="6" t="s">
        <v>130</v>
      </c>
      <c r="E111" s="7" t="str">
        <f>IFERROR(__xludf.DUMMYFUNCTION("""72."" &amp;+ REGEXEXTRACT(D111, ""\((\d*)\)"")"),"72.012")</f>
        <v>72.012</v>
      </c>
      <c r="F111" s="8" t="s">
        <v>131</v>
      </c>
      <c r="G111" s="6" t="s">
        <v>132</v>
      </c>
      <c r="H111" s="8" t="s">
        <v>133</v>
      </c>
      <c r="I111" s="10"/>
      <c r="J111" s="10"/>
      <c r="K111" s="6" t="s">
        <v>134</v>
      </c>
      <c r="L111" s="6" t="s">
        <v>135</v>
      </c>
      <c r="M111" s="6" t="s">
        <v>28</v>
      </c>
      <c r="N111" s="6" t="s">
        <v>28</v>
      </c>
      <c r="O111" s="9" t="s">
        <v>136</v>
      </c>
    </row>
    <row r="112" ht="22.5" customHeight="1">
      <c r="A112" s="18"/>
      <c r="B112" s="6" t="s">
        <v>106</v>
      </c>
      <c r="C112" s="6" t="s">
        <v>107</v>
      </c>
      <c r="D112" s="6" t="s">
        <v>108</v>
      </c>
      <c r="E112" s="7" t="str">
        <f>IFERROR(__xludf.DUMMYFUNCTION("""72."" &amp;+ REGEXEXTRACT(D112, ""\((\d*)\)"")"),"72.010")</f>
        <v>72.010</v>
      </c>
      <c r="F112" s="8" t="s">
        <v>109</v>
      </c>
      <c r="G112" s="6" t="s">
        <v>110</v>
      </c>
      <c r="H112" s="8" t="s">
        <v>111</v>
      </c>
      <c r="I112" s="10"/>
      <c r="J112" s="10"/>
      <c r="K112" s="6" t="s">
        <v>112</v>
      </c>
      <c r="L112" s="6" t="s">
        <v>113</v>
      </c>
      <c r="M112" s="6" t="s">
        <v>28</v>
      </c>
      <c r="N112" s="6" t="s">
        <v>114</v>
      </c>
      <c r="O112" s="9" t="s">
        <v>115</v>
      </c>
    </row>
    <row r="113" ht="22.5" customHeight="1">
      <c r="A113" s="181"/>
      <c r="F113" s="10"/>
      <c r="G113" s="6" t="s">
        <v>989</v>
      </c>
      <c r="H113" s="8" t="s">
        <v>990</v>
      </c>
      <c r="I113" s="10"/>
      <c r="J113" s="10"/>
      <c r="O113" s="57"/>
    </row>
    <row r="114" ht="22.5" customHeight="1">
      <c r="A114" s="16" t="s">
        <v>14</v>
      </c>
      <c r="B114" s="6" t="s">
        <v>28</v>
      </c>
      <c r="C114" s="6" t="s">
        <v>85</v>
      </c>
      <c r="D114" s="6" t="s">
        <v>86</v>
      </c>
      <c r="E114" s="7" t="str">
        <f>IFERROR(__xludf.DUMMYFUNCTION("""72."" &amp;+ REGEXEXTRACT(D114, ""\((\d*)\)"")"),"72.008")</f>
        <v>72.008</v>
      </c>
      <c r="F114" s="8" t="s">
        <v>87</v>
      </c>
      <c r="G114" s="6" t="s">
        <v>88</v>
      </c>
      <c r="H114" s="8" t="s">
        <v>89</v>
      </c>
      <c r="I114" s="10"/>
      <c r="J114" s="10"/>
      <c r="K114" s="6" t="s">
        <v>90</v>
      </c>
      <c r="L114" s="6" t="s">
        <v>91</v>
      </c>
      <c r="M114" s="6" t="s">
        <v>28</v>
      </c>
      <c r="N114" s="6" t="s">
        <v>92</v>
      </c>
      <c r="O114" s="9" t="s">
        <v>93</v>
      </c>
    </row>
    <row r="115" ht="22.5" customHeight="1">
      <c r="A115" s="182"/>
      <c r="F115" s="10"/>
      <c r="G115" s="6" t="s">
        <v>991</v>
      </c>
      <c r="H115" s="8" t="s">
        <v>992</v>
      </c>
      <c r="O115" s="57"/>
    </row>
    <row r="116" ht="22.5" customHeight="1">
      <c r="A116" s="47" t="s">
        <v>14</v>
      </c>
      <c r="B116" s="6" t="s">
        <v>378</v>
      </c>
      <c r="C116" s="6" t="s">
        <v>379</v>
      </c>
      <c r="D116" s="6" t="s">
        <v>380</v>
      </c>
      <c r="E116" s="7" t="str">
        <f>IFERROR(__xludf.DUMMYFUNCTION("""72."" &amp;+ REGEXEXTRACT(D116, ""\((\d*)\)"")"),"72.039")</f>
        <v>72.039</v>
      </c>
      <c r="F116" s="8" t="s">
        <v>381</v>
      </c>
      <c r="G116" s="6" t="s">
        <v>382</v>
      </c>
      <c r="H116" s="8" t="s">
        <v>383</v>
      </c>
      <c r="I116" s="10"/>
      <c r="J116" s="10"/>
      <c r="K116" s="6" t="s">
        <v>384</v>
      </c>
      <c r="L116" s="6" t="s">
        <v>385</v>
      </c>
      <c r="M116" s="6" t="s">
        <v>28</v>
      </c>
      <c r="N116" s="6" t="s">
        <v>386</v>
      </c>
      <c r="O116" s="9" t="s">
        <v>387</v>
      </c>
    </row>
    <row r="117" ht="22.5" customHeight="1">
      <c r="A117" s="183"/>
      <c r="F117" s="10"/>
      <c r="G117" s="6" t="s">
        <v>993</v>
      </c>
      <c r="H117" s="8" t="s">
        <v>994</v>
      </c>
      <c r="I117" s="10"/>
      <c r="J117" s="10"/>
      <c r="O117" s="57"/>
    </row>
    <row r="118" ht="22.5" customHeight="1">
      <c r="A118" s="184"/>
      <c r="F118" s="10"/>
      <c r="G118" s="6" t="s">
        <v>995</v>
      </c>
      <c r="H118" s="8" t="s">
        <v>996</v>
      </c>
      <c r="I118" s="8" t="s">
        <v>997</v>
      </c>
      <c r="J118" s="8" t="s">
        <v>998</v>
      </c>
      <c r="O118" s="57"/>
    </row>
    <row r="119" ht="22.5" customHeight="1">
      <c r="A119" s="185"/>
      <c r="F119" s="10"/>
      <c r="G119" s="6" t="s">
        <v>999</v>
      </c>
      <c r="H119" s="8" t="s">
        <v>1000</v>
      </c>
      <c r="I119" s="10"/>
      <c r="J119" s="10"/>
      <c r="O119" s="57"/>
    </row>
    <row r="120" ht="22.5" customHeight="1">
      <c r="A120" s="186"/>
      <c r="F120" s="10"/>
      <c r="G120" s="6" t="s">
        <v>1001</v>
      </c>
      <c r="H120" s="8" t="s">
        <v>1002</v>
      </c>
      <c r="I120" s="10"/>
      <c r="J120" s="10"/>
      <c r="O120" s="57"/>
    </row>
    <row r="121" ht="22.5" customHeight="1">
      <c r="A121" s="187"/>
      <c r="F121" s="10"/>
      <c r="G121" s="6" t="s">
        <v>1003</v>
      </c>
      <c r="H121" s="8" t="s">
        <v>1004</v>
      </c>
      <c r="I121" s="10"/>
      <c r="J121" s="10"/>
      <c r="O121" s="57"/>
    </row>
    <row r="122" ht="22.5" customHeight="1">
      <c r="A122" s="6" t="s">
        <v>14</v>
      </c>
      <c r="B122" s="6" t="s">
        <v>28</v>
      </c>
      <c r="C122" s="6" t="s">
        <v>29</v>
      </c>
      <c r="D122" s="6" t="s">
        <v>30</v>
      </c>
      <c r="E122" s="7" t="str">
        <f>IFERROR(__xludf.DUMMYFUNCTION("""72."" &amp;+ REGEXEXTRACT(D122, ""\((\d*)\)"")"),"72.002")</f>
        <v>72.002</v>
      </c>
      <c r="F122" s="8" t="s">
        <v>31</v>
      </c>
      <c r="G122" s="6" t="s">
        <v>32</v>
      </c>
      <c r="H122" s="8" t="s">
        <v>33</v>
      </c>
      <c r="I122" s="10"/>
      <c r="J122" s="10"/>
      <c r="K122" s="6" t="s">
        <v>28</v>
      </c>
      <c r="L122" s="6" t="s">
        <v>34</v>
      </c>
      <c r="M122" s="6" t="s">
        <v>28</v>
      </c>
      <c r="N122" s="6" t="s">
        <v>35</v>
      </c>
      <c r="O122" s="9" t="s">
        <v>27</v>
      </c>
    </row>
    <row r="123" ht="22.5" customHeight="1">
      <c r="A123" s="188"/>
      <c r="F123" s="10"/>
      <c r="G123" s="6" t="s">
        <v>1005</v>
      </c>
      <c r="H123" s="8" t="s">
        <v>1006</v>
      </c>
      <c r="I123" s="10"/>
      <c r="J123" s="10"/>
      <c r="O123" s="57"/>
    </row>
    <row r="124" ht="22.5" customHeight="1">
      <c r="A124" s="76" t="s">
        <v>14</v>
      </c>
      <c r="B124" s="6" t="s">
        <v>603</v>
      </c>
      <c r="C124" s="6" t="s">
        <v>604</v>
      </c>
      <c r="D124" s="6" t="s">
        <v>605</v>
      </c>
      <c r="E124" s="7" t="str">
        <f>IFERROR(__xludf.DUMMYFUNCTION("""72."" &amp;+ REGEXEXTRACT(D124, ""\((\d*)\)"")"),"72.062")</f>
        <v>72.062</v>
      </c>
      <c r="F124" s="8" t="s">
        <v>606</v>
      </c>
      <c r="G124" s="6" t="s">
        <v>607</v>
      </c>
      <c r="H124" s="8" t="s">
        <v>608</v>
      </c>
      <c r="I124" s="10"/>
      <c r="J124" s="10"/>
      <c r="K124" s="6" t="s">
        <v>28</v>
      </c>
      <c r="L124" s="6" t="s">
        <v>609</v>
      </c>
      <c r="M124" s="6" t="s">
        <v>28</v>
      </c>
      <c r="N124" s="6" t="s">
        <v>28</v>
      </c>
      <c r="O124" s="9" t="s">
        <v>610</v>
      </c>
    </row>
    <row r="125" ht="22.5" customHeight="1">
      <c r="A125" s="189"/>
      <c r="F125" s="10"/>
      <c r="G125" s="6" t="s">
        <v>1007</v>
      </c>
      <c r="H125" s="8" t="s">
        <v>1008</v>
      </c>
      <c r="I125" s="8" t="s">
        <v>1009</v>
      </c>
      <c r="J125" s="8" t="s">
        <v>1010</v>
      </c>
      <c r="O125" s="57"/>
    </row>
    <row r="126" ht="22.5" customHeight="1">
      <c r="A126" s="190"/>
      <c r="F126" s="10"/>
      <c r="G126" s="6" t="s">
        <v>1011</v>
      </c>
      <c r="H126" s="8" t="s">
        <v>1012</v>
      </c>
      <c r="I126" s="10"/>
      <c r="J126" s="10"/>
      <c r="O126" s="57"/>
    </row>
    <row r="127" ht="22.5" customHeight="1">
      <c r="A127" s="90" t="s">
        <v>14</v>
      </c>
      <c r="B127" s="6" t="s">
        <v>697</v>
      </c>
      <c r="C127" s="6" t="s">
        <v>698</v>
      </c>
      <c r="D127" s="6" t="s">
        <v>699</v>
      </c>
      <c r="E127" s="7" t="str">
        <f>IFERROR(__xludf.DUMMYFUNCTION("""72."" &amp;+ REGEXEXTRACT(D127, ""\((\d*)\)"")"),"72.145")</f>
        <v>72.145</v>
      </c>
      <c r="F127" s="8" t="s">
        <v>700</v>
      </c>
      <c r="G127" s="6" t="s">
        <v>701</v>
      </c>
      <c r="H127" s="8" t="s">
        <v>702</v>
      </c>
      <c r="I127" s="10"/>
      <c r="J127" s="10"/>
      <c r="K127" s="6" t="s">
        <v>28</v>
      </c>
      <c r="L127" s="6" t="s">
        <v>703</v>
      </c>
      <c r="M127" s="6" t="s">
        <v>28</v>
      </c>
      <c r="N127" s="6" t="s">
        <v>28</v>
      </c>
      <c r="O127" s="9" t="s">
        <v>704</v>
      </c>
    </row>
    <row r="128" ht="22.5" customHeight="1">
      <c r="A128" s="26" t="s">
        <v>14</v>
      </c>
      <c r="B128" s="6" t="s">
        <v>28</v>
      </c>
      <c r="C128" s="6" t="s">
        <v>181</v>
      </c>
      <c r="D128" s="6" t="s">
        <v>182</v>
      </c>
      <c r="E128" s="7" t="str">
        <f>IFERROR(__xludf.DUMMYFUNCTION("""72."" &amp;+ REGEXEXTRACT(D128, ""\((\d*)\)"")"),"72.018")</f>
        <v>72.018</v>
      </c>
      <c r="F128" s="8" t="s">
        <v>183</v>
      </c>
      <c r="G128" s="6" t="s">
        <v>184</v>
      </c>
      <c r="H128" s="8" t="s">
        <v>185</v>
      </c>
      <c r="I128" s="10"/>
      <c r="J128" s="10"/>
      <c r="K128" s="6" t="s">
        <v>186</v>
      </c>
      <c r="L128" s="6" t="s">
        <v>187</v>
      </c>
      <c r="M128" s="6" t="s">
        <v>28</v>
      </c>
      <c r="N128" s="6" t="s">
        <v>28</v>
      </c>
      <c r="O128" s="9" t="s">
        <v>188</v>
      </c>
    </row>
    <row r="129" ht="22.5" customHeight="1">
      <c r="A129" s="86" t="s">
        <v>14</v>
      </c>
      <c r="B129" s="6" t="s">
        <v>668</v>
      </c>
      <c r="C129" s="6" t="s">
        <v>669</v>
      </c>
      <c r="D129" s="6" t="s">
        <v>670</v>
      </c>
      <c r="E129" s="7" t="str">
        <f>IFERROR(__xludf.DUMMYFUNCTION("""72."" &amp;+ REGEXEXTRACT(D129, ""\((\d*)\)"")"),"72.141")</f>
        <v>72.141</v>
      </c>
      <c r="F129" s="8" t="s">
        <v>671</v>
      </c>
      <c r="G129" s="6" t="s">
        <v>672</v>
      </c>
      <c r="H129" s="8" t="s">
        <v>673</v>
      </c>
      <c r="I129" s="10"/>
      <c r="J129" s="10"/>
      <c r="K129" s="6" t="s">
        <v>28</v>
      </c>
      <c r="L129" s="6" t="s">
        <v>624</v>
      </c>
      <c r="M129" s="6" t="s">
        <v>28</v>
      </c>
      <c r="N129" s="6" t="s">
        <v>28</v>
      </c>
      <c r="O129" s="9" t="s">
        <v>674</v>
      </c>
    </row>
    <row r="130" ht="22.5" customHeight="1">
      <c r="A130" s="44" t="s">
        <v>14</v>
      </c>
      <c r="B130" s="6" t="s">
        <v>28</v>
      </c>
      <c r="C130" s="6" t="s">
        <v>350</v>
      </c>
      <c r="D130" s="6" t="s">
        <v>351</v>
      </c>
      <c r="E130" s="7" t="str">
        <f>IFERROR(__xludf.DUMMYFUNCTION("""72."" &amp;+ REGEXEXTRACT(D130, ""\((\d*)\)"")"),"72.036")</f>
        <v>72.036</v>
      </c>
      <c r="F130" s="8" t="s">
        <v>352</v>
      </c>
      <c r="G130" s="6" t="s">
        <v>353</v>
      </c>
      <c r="H130" s="8" t="s">
        <v>354</v>
      </c>
      <c r="I130" s="10"/>
      <c r="J130" s="10"/>
      <c r="K130" s="6" t="s">
        <v>28</v>
      </c>
      <c r="L130" s="6" t="s">
        <v>355</v>
      </c>
      <c r="M130" s="6" t="s">
        <v>28</v>
      </c>
      <c r="N130" s="6" t="s">
        <v>356</v>
      </c>
      <c r="O130" s="9" t="s">
        <v>357</v>
      </c>
    </row>
    <row r="131" ht="22.5" customHeight="1">
      <c r="A131" s="11" t="s">
        <v>14</v>
      </c>
      <c r="B131" s="6" t="s">
        <v>28</v>
      </c>
      <c r="C131" s="6" t="s">
        <v>36</v>
      </c>
      <c r="D131" s="6" t="s">
        <v>37</v>
      </c>
      <c r="E131" s="7" t="str">
        <f>IFERROR(__xludf.DUMMYFUNCTION("""72."" &amp;+ REGEXEXTRACT(D131, ""\((\d*)\)"")"),"72.003")</f>
        <v>72.003</v>
      </c>
      <c r="F131" s="8" t="s">
        <v>38</v>
      </c>
      <c r="G131" s="6" t="s">
        <v>39</v>
      </c>
      <c r="H131" s="8" t="s">
        <v>40</v>
      </c>
      <c r="I131" s="10"/>
      <c r="J131" s="10"/>
      <c r="K131" s="6" t="s">
        <v>41</v>
      </c>
      <c r="L131" s="6" t="s">
        <v>42</v>
      </c>
      <c r="M131" s="6" t="s">
        <v>28</v>
      </c>
      <c r="N131" s="6" t="s">
        <v>43</v>
      </c>
      <c r="O131" s="9" t="s">
        <v>44</v>
      </c>
    </row>
    <row r="132" ht="22.5" customHeight="1">
      <c r="A132" s="191"/>
      <c r="F132" s="10"/>
      <c r="G132" s="6" t="s">
        <v>1013</v>
      </c>
      <c r="H132" s="8" t="s">
        <v>1014</v>
      </c>
      <c r="I132" s="10"/>
      <c r="J132" s="10"/>
      <c r="O132" s="57"/>
    </row>
    <row r="133" ht="22.5" customHeight="1">
      <c r="A133" s="29" t="s">
        <v>14</v>
      </c>
      <c r="B133" s="6" t="s">
        <v>208</v>
      </c>
      <c r="C133" s="6" t="s">
        <v>209</v>
      </c>
      <c r="D133" s="6" t="s">
        <v>210</v>
      </c>
      <c r="E133" s="7" t="str">
        <f>IFERROR(__xludf.DUMMYFUNCTION("""72."" &amp;+ REGEXEXTRACT(D133, ""\((\d*)\)"")"),"72.021")</f>
        <v>72.021</v>
      </c>
      <c r="F133" s="8" t="s">
        <v>211</v>
      </c>
      <c r="G133" s="6" t="s">
        <v>212</v>
      </c>
      <c r="H133" s="8" t="s">
        <v>213</v>
      </c>
      <c r="I133" s="10"/>
      <c r="J133" s="10"/>
      <c r="K133" s="6" t="s">
        <v>214</v>
      </c>
      <c r="L133" s="6" t="s">
        <v>215</v>
      </c>
      <c r="M133" s="6" t="s">
        <v>28</v>
      </c>
      <c r="N133" s="6" t="s">
        <v>216</v>
      </c>
      <c r="O133" s="9" t="s">
        <v>217</v>
      </c>
    </row>
    <row r="134" ht="22.5" customHeight="1">
      <c r="A134" s="192"/>
      <c r="F134" s="10"/>
      <c r="G134" s="6" t="s">
        <v>1015</v>
      </c>
      <c r="H134" s="8" t="s">
        <v>1016</v>
      </c>
      <c r="I134" s="10"/>
      <c r="J134" s="10"/>
      <c r="O134" s="57"/>
    </row>
    <row r="135" ht="22.5" customHeight="1">
      <c r="A135" s="193"/>
      <c r="F135" s="10"/>
      <c r="G135" s="6" t="s">
        <v>1017</v>
      </c>
      <c r="H135" s="8" t="s">
        <v>1018</v>
      </c>
      <c r="I135" s="10"/>
      <c r="J135" s="10"/>
      <c r="O135" s="57"/>
    </row>
    <row r="136" ht="22.5" customHeight="1">
      <c r="A136" s="194"/>
      <c r="F136" s="10"/>
      <c r="G136" s="6" t="s">
        <v>1019</v>
      </c>
      <c r="H136" s="8" t="s">
        <v>1020</v>
      </c>
      <c r="I136" s="10"/>
      <c r="J136" s="10"/>
      <c r="O136" s="57"/>
    </row>
    <row r="137" ht="22.5" customHeight="1">
      <c r="A137" s="195"/>
      <c r="F137" s="10"/>
      <c r="G137" s="6" t="s">
        <v>1021</v>
      </c>
      <c r="H137" s="8" t="s">
        <v>1022</v>
      </c>
      <c r="I137" s="10"/>
      <c r="J137" s="10"/>
      <c r="O137" s="57"/>
    </row>
    <row r="138" ht="22.5" customHeight="1">
      <c r="A138" s="196"/>
      <c r="F138" s="10"/>
      <c r="G138" s="6" t="s">
        <v>1023</v>
      </c>
      <c r="H138" s="8" t="s">
        <v>1024</v>
      </c>
      <c r="I138" s="10"/>
      <c r="J138" s="10"/>
      <c r="O138" s="57"/>
    </row>
    <row r="139" ht="22.5" customHeight="1">
      <c r="A139" s="197"/>
      <c r="F139" s="10"/>
      <c r="G139" s="6" t="s">
        <v>1025</v>
      </c>
      <c r="H139" s="8" t="s">
        <v>1026</v>
      </c>
      <c r="I139" s="10"/>
      <c r="J139" s="10"/>
      <c r="O139" s="57"/>
    </row>
    <row r="140" ht="22.5" customHeight="1">
      <c r="A140" s="198"/>
      <c r="F140" s="10"/>
      <c r="G140" s="6" t="s">
        <v>1027</v>
      </c>
      <c r="H140" s="8" t="s">
        <v>1028</v>
      </c>
      <c r="I140" s="10"/>
      <c r="J140" s="10"/>
      <c r="O140" s="57"/>
    </row>
    <row r="141" ht="22.5" customHeight="1">
      <c r="A141" s="199"/>
      <c r="F141" s="10"/>
      <c r="G141" s="6" t="s">
        <v>1029</v>
      </c>
      <c r="H141" s="8" t="s">
        <v>1030</v>
      </c>
      <c r="I141" s="8" t="s">
        <v>1031</v>
      </c>
      <c r="J141" s="8" t="s">
        <v>1032</v>
      </c>
      <c r="O141" s="57"/>
    </row>
    <row r="142" ht="22.5" customHeight="1">
      <c r="A142" s="40" t="s">
        <v>14</v>
      </c>
      <c r="B142" s="6" t="s">
        <v>311</v>
      </c>
      <c r="C142" s="6" t="s">
        <v>312</v>
      </c>
      <c r="D142" s="6" t="s">
        <v>313</v>
      </c>
      <c r="E142" s="7" t="str">
        <f>IFERROR(__xludf.DUMMYFUNCTION("""72."" &amp;+ REGEXEXTRACT(D142, ""\((\d*)\)"")"),"72.032")</f>
        <v>72.032</v>
      </c>
      <c r="F142" s="8" t="s">
        <v>314</v>
      </c>
      <c r="G142" s="6" t="s">
        <v>315</v>
      </c>
      <c r="H142" s="8" t="s">
        <v>316</v>
      </c>
      <c r="I142" s="10"/>
      <c r="J142" s="10"/>
      <c r="K142" s="6" t="s">
        <v>317</v>
      </c>
      <c r="L142" s="6" t="s">
        <v>318</v>
      </c>
      <c r="M142" s="6" t="s">
        <v>28</v>
      </c>
      <c r="N142" s="6" t="s">
        <v>319</v>
      </c>
      <c r="O142" s="9" t="s">
        <v>320</v>
      </c>
    </row>
    <row r="143" ht="22.5" customHeight="1">
      <c r="A143" s="200"/>
      <c r="F143" s="10"/>
      <c r="G143" s="6" t="s">
        <v>1033</v>
      </c>
      <c r="H143" s="8" t="s">
        <v>1034</v>
      </c>
      <c r="I143" s="8" t="s">
        <v>1035</v>
      </c>
      <c r="J143" s="8" t="s">
        <v>1036</v>
      </c>
      <c r="O143" s="57"/>
    </row>
    <row r="144" ht="22.5" customHeight="1">
      <c r="A144" s="201"/>
      <c r="F144" s="10"/>
      <c r="G144" s="6" t="s">
        <v>1037</v>
      </c>
      <c r="H144" s="8" t="s">
        <v>1038</v>
      </c>
      <c r="I144" s="10"/>
      <c r="J144" s="10"/>
      <c r="O144" s="57"/>
    </row>
    <row r="145" ht="22.5" customHeight="1">
      <c r="A145" s="22" t="s">
        <v>14</v>
      </c>
      <c r="B145" s="6" t="s">
        <v>146</v>
      </c>
      <c r="C145" s="6" t="s">
        <v>147</v>
      </c>
      <c r="D145" s="6" t="s">
        <v>148</v>
      </c>
      <c r="E145" s="7" t="str">
        <f>IFERROR(__xludf.DUMMYFUNCTION("""72."" &amp;+ REGEXEXTRACT(D145, ""\((\d*)\)"")"),"72.014")</f>
        <v>72.014</v>
      </c>
      <c r="F145" s="8" t="s">
        <v>149</v>
      </c>
      <c r="G145" s="6" t="s">
        <v>150</v>
      </c>
      <c r="H145" s="8" t="s">
        <v>151</v>
      </c>
      <c r="I145" s="10"/>
      <c r="J145" s="10"/>
      <c r="K145" s="6" t="s">
        <v>152</v>
      </c>
      <c r="L145" s="6" t="s">
        <v>153</v>
      </c>
      <c r="M145" s="6" t="s">
        <v>28</v>
      </c>
      <c r="N145" s="6" t="s">
        <v>154</v>
      </c>
      <c r="O145" s="9" t="s">
        <v>155</v>
      </c>
    </row>
    <row r="146" ht="22.5" customHeight="1">
      <c r="A146" s="202"/>
      <c r="F146" s="10"/>
      <c r="G146" s="6" t="s">
        <v>1039</v>
      </c>
      <c r="H146" s="8" t="s">
        <v>1040</v>
      </c>
      <c r="I146" s="10"/>
      <c r="J146" s="10"/>
      <c r="O146" s="57"/>
    </row>
    <row r="147" ht="22.5" customHeight="1">
      <c r="A147" s="203"/>
      <c r="F147" s="10"/>
      <c r="G147" s="6" t="s">
        <v>1041</v>
      </c>
      <c r="H147" s="8" t="s">
        <v>1042</v>
      </c>
      <c r="I147" s="10"/>
      <c r="J147" s="10"/>
      <c r="O147" s="57"/>
    </row>
    <row r="148" ht="22.5" customHeight="1">
      <c r="A148" s="15" t="s">
        <v>14</v>
      </c>
      <c r="B148" s="6" t="s">
        <v>75</v>
      </c>
      <c r="C148" s="6" t="s">
        <v>76</v>
      </c>
      <c r="D148" s="6" t="s">
        <v>77</v>
      </c>
      <c r="E148" s="7" t="str">
        <f>IFERROR(__xludf.DUMMYFUNCTION("""72."" &amp;+ REGEXEXTRACT(D148, ""\((\d*)\)"")"),"72.007")</f>
        <v>72.007</v>
      </c>
      <c r="F148" s="8" t="s">
        <v>78</v>
      </c>
      <c r="G148" s="6" t="s">
        <v>79</v>
      </c>
      <c r="H148" s="8" t="s">
        <v>80</v>
      </c>
      <c r="I148" s="10"/>
      <c r="J148" s="10"/>
      <c r="K148" s="6" t="s">
        <v>81</v>
      </c>
      <c r="L148" s="6" t="s">
        <v>82</v>
      </c>
      <c r="M148" s="6" t="s">
        <v>28</v>
      </c>
      <c r="N148" s="6" t="s">
        <v>83</v>
      </c>
      <c r="O148" s="9" t="s">
        <v>84</v>
      </c>
    </row>
    <row r="149" ht="22.5" customHeight="1">
      <c r="A149" s="204"/>
      <c r="F149" s="10"/>
      <c r="G149" s="6" t="s">
        <v>1043</v>
      </c>
      <c r="H149" s="8" t="s">
        <v>1044</v>
      </c>
      <c r="I149" s="10"/>
      <c r="J149" s="10"/>
      <c r="O149" s="57"/>
    </row>
    <row r="150" ht="22.5" customHeight="1">
      <c r="A150" s="60" t="s">
        <v>14</v>
      </c>
      <c r="B150" s="6" t="s">
        <v>495</v>
      </c>
      <c r="C150" s="6" t="s">
        <v>496</v>
      </c>
      <c r="D150" s="6" t="s">
        <v>497</v>
      </c>
      <c r="E150" s="7" t="str">
        <f>IFERROR(__xludf.DUMMYFUNCTION("""72."" &amp;+ REGEXEXTRACT(D150, ""\((\d*)\)"")"),"72.051")</f>
        <v>72.051</v>
      </c>
      <c r="F150" s="8" t="s">
        <v>498</v>
      </c>
      <c r="G150" s="6" t="s">
        <v>499</v>
      </c>
      <c r="H150" s="8" t="s">
        <v>500</v>
      </c>
      <c r="I150" s="8" t="s">
        <v>501</v>
      </c>
      <c r="J150" s="8" t="s">
        <v>502</v>
      </c>
      <c r="K150" s="6" t="s">
        <v>503</v>
      </c>
      <c r="L150" s="6" t="s">
        <v>504</v>
      </c>
      <c r="M150" s="6" t="s">
        <v>505</v>
      </c>
      <c r="N150" s="6" t="s">
        <v>506</v>
      </c>
      <c r="O150" s="9" t="s">
        <v>507</v>
      </c>
    </row>
    <row r="151" ht="22.5" customHeight="1">
      <c r="A151" s="6" t="s">
        <v>14</v>
      </c>
      <c r="B151" s="6" t="s">
        <v>15</v>
      </c>
      <c r="C151" s="6" t="s">
        <v>16</v>
      </c>
      <c r="D151" s="6" t="s">
        <v>17</v>
      </c>
      <c r="E151" s="7" t="str">
        <f>IFERROR(__xludf.DUMMYFUNCTION("""72."" &amp;+ REGEXEXTRACT(D151, ""\((\d*)\)"")"),"72.001")</f>
        <v>72.001</v>
      </c>
      <c r="F151" s="8" t="s">
        <v>18</v>
      </c>
      <c r="G151" s="6" t="s">
        <v>19</v>
      </c>
      <c r="H151" s="8" t="s">
        <v>20</v>
      </c>
      <c r="I151" s="8" t="s">
        <v>21</v>
      </c>
      <c r="J151" s="8" t="s">
        <v>22</v>
      </c>
      <c r="K151" s="6" t="s">
        <v>23</v>
      </c>
      <c r="L151" s="6" t="s">
        <v>24</v>
      </c>
      <c r="M151" s="6" t="s">
        <v>25</v>
      </c>
      <c r="N151" s="6" t="s">
        <v>26</v>
      </c>
      <c r="O151" s="9" t="s">
        <v>27</v>
      </c>
    </row>
    <row r="152" ht="22.5" customHeight="1">
      <c r="A152" s="13" t="s">
        <v>14</v>
      </c>
      <c r="B152" s="6" t="s">
        <v>28</v>
      </c>
      <c r="C152" s="6" t="s">
        <v>55</v>
      </c>
      <c r="D152" s="6" t="s">
        <v>56</v>
      </c>
      <c r="E152" s="7" t="str">
        <f>IFERROR(__xludf.DUMMYFUNCTION("""72."" &amp;+ REGEXEXTRACT(D152, ""\((\d*)\)"")"),"72.005")</f>
        <v>72.005</v>
      </c>
      <c r="F152" s="8" t="s">
        <v>57</v>
      </c>
      <c r="G152" s="6" t="s">
        <v>58</v>
      </c>
      <c r="H152" s="8" t="s">
        <v>59</v>
      </c>
      <c r="I152" s="10"/>
      <c r="J152" s="10"/>
      <c r="K152" s="6" t="s">
        <v>28</v>
      </c>
      <c r="L152" s="6" t="s">
        <v>60</v>
      </c>
      <c r="M152" s="6" t="s">
        <v>28</v>
      </c>
      <c r="N152" s="6" t="s">
        <v>61</v>
      </c>
      <c r="O152" s="9" t="s">
        <v>62</v>
      </c>
    </row>
    <row r="153" ht="22.5" customHeight="1">
      <c r="A153" s="14"/>
      <c r="B153" s="6" t="s">
        <v>63</v>
      </c>
      <c r="C153" s="6" t="s">
        <v>64</v>
      </c>
      <c r="D153" s="6" t="s">
        <v>65</v>
      </c>
      <c r="E153" s="7" t="str">
        <f>IFERROR(__xludf.DUMMYFUNCTION("""72."" &amp;+ REGEXEXTRACT(D153, ""\((\d*)\)"")"),"72.006")</f>
        <v>72.006</v>
      </c>
      <c r="F153" s="8" t="s">
        <v>66</v>
      </c>
      <c r="G153" s="6" t="s">
        <v>67</v>
      </c>
      <c r="H153" s="8" t="s">
        <v>68</v>
      </c>
      <c r="I153" s="8" t="s">
        <v>69</v>
      </c>
      <c r="J153" s="8" t="s">
        <v>70</v>
      </c>
      <c r="K153" s="6" t="s">
        <v>71</v>
      </c>
      <c r="L153" s="6" t="s">
        <v>72</v>
      </c>
      <c r="M153" s="6" t="s">
        <v>28</v>
      </c>
      <c r="N153" s="6" t="s">
        <v>73</v>
      </c>
      <c r="O153" s="9" t="s">
        <v>74</v>
      </c>
    </row>
    <row r="154" ht="22.5" customHeight="1">
      <c r="A154" s="41" t="s">
        <v>14</v>
      </c>
      <c r="B154" s="6" t="s">
        <v>28</v>
      </c>
      <c r="C154" s="6" t="s">
        <v>321</v>
      </c>
      <c r="D154" s="6" t="s">
        <v>322</v>
      </c>
      <c r="E154" s="7" t="str">
        <f>IFERROR(__xludf.DUMMYFUNCTION("""72."" &amp;+ REGEXEXTRACT(D154, ""\((\d*)\)"")"),"72.033")</f>
        <v>72.033</v>
      </c>
      <c r="F154" s="8" t="s">
        <v>323</v>
      </c>
      <c r="G154" s="6" t="s">
        <v>324</v>
      </c>
      <c r="H154" s="8" t="s">
        <v>325</v>
      </c>
      <c r="I154" s="10"/>
      <c r="J154" s="10"/>
      <c r="K154" s="6" t="s">
        <v>326</v>
      </c>
      <c r="L154" s="6" t="s">
        <v>327</v>
      </c>
      <c r="M154" s="6" t="s">
        <v>28</v>
      </c>
      <c r="N154" s="6" t="s">
        <v>28</v>
      </c>
      <c r="O154" s="9" t="s">
        <v>328</v>
      </c>
    </row>
    <row r="155" ht="22.5" customHeight="1">
      <c r="A155" s="12" t="s">
        <v>14</v>
      </c>
      <c r="B155" s="6" t="s">
        <v>45</v>
      </c>
      <c r="C155" s="6" t="s">
        <v>46</v>
      </c>
      <c r="D155" s="6" t="s">
        <v>47</v>
      </c>
      <c r="E155" s="7" t="str">
        <f>IFERROR(__xludf.DUMMYFUNCTION("""72."" &amp;+ REGEXEXTRACT(D155, ""\((\d*)\)"")"),"72.004")</f>
        <v>72.004</v>
      </c>
      <c r="F155" s="8" t="s">
        <v>48</v>
      </c>
      <c r="G155" s="6" t="s">
        <v>49</v>
      </c>
      <c r="H155" s="8" t="s">
        <v>50</v>
      </c>
      <c r="I155" s="10"/>
      <c r="J155" s="10"/>
      <c r="K155" s="6" t="s">
        <v>51</v>
      </c>
      <c r="L155" s="6" t="s">
        <v>52</v>
      </c>
      <c r="M155" s="6" t="s">
        <v>28</v>
      </c>
      <c r="N155" s="6" t="s">
        <v>53</v>
      </c>
      <c r="O155" s="9" t="s">
        <v>54</v>
      </c>
    </row>
    <row r="156" ht="22.5" customHeight="1">
      <c r="A156" s="205"/>
      <c r="F156" s="10"/>
      <c r="G156" s="6" t="s">
        <v>1045</v>
      </c>
      <c r="H156" s="8" t="s">
        <v>1046</v>
      </c>
      <c r="I156" s="8" t="s">
        <v>1047</v>
      </c>
      <c r="J156" s="8" t="s">
        <v>1048</v>
      </c>
      <c r="O156" s="57"/>
    </row>
    <row r="157" ht="22.5" customHeight="1">
      <c r="A157" s="206"/>
      <c r="F157" s="10"/>
      <c r="G157" s="6" t="s">
        <v>1049</v>
      </c>
      <c r="H157" s="8" t="s">
        <v>1050</v>
      </c>
      <c r="I157" s="8" t="s">
        <v>1051</v>
      </c>
      <c r="J157" s="8" t="s">
        <v>1052</v>
      </c>
      <c r="O157" s="57"/>
    </row>
    <row r="158" ht="22.5" customHeight="1">
      <c r="A158" s="21" t="s">
        <v>14</v>
      </c>
      <c r="B158" s="6" t="s">
        <v>28</v>
      </c>
      <c r="C158" s="6" t="s">
        <v>137</v>
      </c>
      <c r="D158" s="6" t="s">
        <v>138</v>
      </c>
      <c r="E158" s="7" t="str">
        <f>IFERROR(__xludf.DUMMYFUNCTION("""72."" &amp;+ REGEXEXTRACT(D158, ""\((\d*)\)"")"),"72.013")</f>
        <v>72.013</v>
      </c>
      <c r="F158" s="8" t="s">
        <v>139</v>
      </c>
      <c r="G158" s="6" t="s">
        <v>140</v>
      </c>
      <c r="H158" s="8" t="s">
        <v>141</v>
      </c>
      <c r="I158" s="10"/>
      <c r="J158" s="10"/>
      <c r="K158" s="6" t="s">
        <v>142</v>
      </c>
      <c r="L158" s="6" t="s">
        <v>143</v>
      </c>
      <c r="M158" s="6" t="s">
        <v>28</v>
      </c>
      <c r="N158" s="6" t="s">
        <v>144</v>
      </c>
      <c r="O158" s="9" t="s">
        <v>145</v>
      </c>
    </row>
    <row r="159" ht="22.5" customHeight="1">
      <c r="A159" s="207"/>
      <c r="F159" s="10"/>
      <c r="G159" s="6" t="s">
        <v>1053</v>
      </c>
      <c r="H159" s="8" t="s">
        <v>1054</v>
      </c>
      <c r="I159" s="10"/>
      <c r="J159" s="10"/>
      <c r="O159" s="57"/>
    </row>
    <row r="160" ht="22.5" customHeight="1">
      <c r="A160" s="25" t="s">
        <v>14</v>
      </c>
      <c r="B160" s="6" t="s">
        <v>28</v>
      </c>
      <c r="C160" s="6" t="s">
        <v>173</v>
      </c>
      <c r="D160" s="6" t="s">
        <v>174</v>
      </c>
      <c r="E160" s="7" t="str">
        <f>IFERROR(__xludf.DUMMYFUNCTION("""72."" &amp;+ REGEXEXTRACT(D160, ""\((\d*)\)"")"),"72.017")</f>
        <v>72.017</v>
      </c>
      <c r="F160" s="8" t="s">
        <v>175</v>
      </c>
      <c r="G160" s="6" t="s">
        <v>176</v>
      </c>
      <c r="H160" s="8" t="s">
        <v>177</v>
      </c>
      <c r="I160" s="10"/>
      <c r="J160" s="10"/>
      <c r="K160" s="6" t="s">
        <v>28</v>
      </c>
      <c r="L160" s="6" t="s">
        <v>178</v>
      </c>
      <c r="M160" s="6" t="s">
        <v>28</v>
      </c>
      <c r="N160" s="6" t="s">
        <v>179</v>
      </c>
      <c r="O160" s="9" t="s">
        <v>180</v>
      </c>
    </row>
    <row r="161" ht="22.5" customHeight="1">
      <c r="A161" s="87"/>
      <c r="B161" s="6" t="s">
        <v>675</v>
      </c>
      <c r="C161" s="6" t="s">
        <v>676</v>
      </c>
      <c r="D161" s="6" t="s">
        <v>677</v>
      </c>
      <c r="E161" s="7" t="str">
        <f>IFERROR(__xludf.DUMMYFUNCTION("""72."" &amp;+ REGEXEXTRACT(D161, ""\((\d*)\)"")"),"72.142")</f>
        <v>72.142</v>
      </c>
      <c r="F161" s="8" t="s">
        <v>678</v>
      </c>
      <c r="G161" s="6" t="s">
        <v>679</v>
      </c>
      <c r="H161" s="8" t="s">
        <v>177</v>
      </c>
      <c r="I161" s="10"/>
      <c r="J161" s="10"/>
      <c r="K161" s="6" t="s">
        <v>28</v>
      </c>
      <c r="L161" s="6" t="s">
        <v>680</v>
      </c>
      <c r="M161" s="6" t="s">
        <v>28</v>
      </c>
      <c r="N161" s="6" t="s">
        <v>28</v>
      </c>
      <c r="O161" s="9" t="s">
        <v>681</v>
      </c>
    </row>
    <row r="162" ht="22.5" customHeight="1">
      <c r="A162" s="31" t="s">
        <v>14</v>
      </c>
      <c r="B162" s="6" t="s">
        <v>28</v>
      </c>
      <c r="C162" s="6" t="s">
        <v>228</v>
      </c>
      <c r="D162" s="6" t="s">
        <v>229</v>
      </c>
      <c r="E162" s="7" t="str">
        <f>IFERROR(__xludf.DUMMYFUNCTION("""72."" &amp;+ REGEXEXTRACT(D162, ""\((\d*)\)"")"),"72.023")</f>
        <v>72.023</v>
      </c>
      <c r="F162" s="8" t="s">
        <v>230</v>
      </c>
      <c r="G162" s="6" t="s">
        <v>231</v>
      </c>
      <c r="H162" s="8" t="s">
        <v>232</v>
      </c>
      <c r="I162" s="10"/>
      <c r="J162" s="10"/>
      <c r="K162" s="6" t="s">
        <v>233</v>
      </c>
      <c r="L162" s="6" t="s">
        <v>234</v>
      </c>
      <c r="M162" s="6" t="s">
        <v>28</v>
      </c>
      <c r="N162" s="6" t="s">
        <v>235</v>
      </c>
      <c r="O162" s="9" t="s">
        <v>236</v>
      </c>
    </row>
    <row r="163" ht="22.5" customHeight="1">
      <c r="A163" s="208"/>
      <c r="F163" s="10"/>
      <c r="G163" s="6" t="s">
        <v>1055</v>
      </c>
      <c r="H163" s="8" t="s">
        <v>1056</v>
      </c>
      <c r="I163" s="10"/>
      <c r="J163" s="10"/>
      <c r="O163" s="57"/>
    </row>
    <row r="164" ht="22.5" customHeight="1">
      <c r="A164" s="209"/>
      <c r="F164" s="10"/>
      <c r="G164" s="6" t="s">
        <v>1057</v>
      </c>
      <c r="H164" s="8" t="s">
        <v>1058</v>
      </c>
      <c r="I164" s="10"/>
      <c r="J164" s="10"/>
      <c r="O164" s="57"/>
    </row>
    <row r="165" ht="22.5" customHeight="1">
      <c r="A165" s="210"/>
      <c r="F165" s="10"/>
      <c r="G165" s="6" t="s">
        <v>1059</v>
      </c>
      <c r="H165" s="8" t="s">
        <v>1060</v>
      </c>
      <c r="I165" s="10"/>
      <c r="J165" s="10"/>
      <c r="O165" s="57"/>
    </row>
    <row r="166" ht="22.5" customHeight="1">
      <c r="A166" s="88" t="s">
        <v>14</v>
      </c>
      <c r="B166" s="6" t="s">
        <v>682</v>
      </c>
      <c r="C166" s="6" t="s">
        <v>683</v>
      </c>
      <c r="D166" s="6" t="s">
        <v>684</v>
      </c>
      <c r="E166" s="7" t="str">
        <f>IFERROR(__xludf.DUMMYFUNCTION("""72."" &amp;+ REGEXEXTRACT(D166, ""\((\d*)\)"")"),"72.143")</f>
        <v>72.143</v>
      </c>
      <c r="F166" s="8" t="s">
        <v>685</v>
      </c>
      <c r="G166" s="6" t="s">
        <v>686</v>
      </c>
      <c r="H166" s="8" t="s">
        <v>687</v>
      </c>
      <c r="I166" s="10"/>
      <c r="J166" s="10"/>
      <c r="K166" s="6" t="s">
        <v>28</v>
      </c>
      <c r="L166" s="6" t="s">
        <v>688</v>
      </c>
      <c r="M166" s="6" t="s">
        <v>28</v>
      </c>
      <c r="N166" s="6" t="s">
        <v>28</v>
      </c>
      <c r="O166" s="9" t="s">
        <v>689</v>
      </c>
    </row>
    <row r="167" ht="22.5" customHeight="1">
      <c r="A167" s="211"/>
      <c r="F167" s="10"/>
      <c r="G167" s="6" t="s">
        <v>1061</v>
      </c>
      <c r="H167" s="8" t="s">
        <v>1062</v>
      </c>
      <c r="I167" s="10"/>
      <c r="J167" s="10"/>
      <c r="O167" s="57"/>
    </row>
    <row r="168" ht="22.5" customHeight="1">
      <c r="A168" s="39" t="s">
        <v>14</v>
      </c>
      <c r="B168" s="6" t="s">
        <v>303</v>
      </c>
      <c r="C168" s="6" t="s">
        <v>304</v>
      </c>
      <c r="D168" s="6" t="s">
        <v>305</v>
      </c>
      <c r="E168" s="7" t="str">
        <f>IFERROR(__xludf.DUMMYFUNCTION("""72."" &amp;+ REGEXEXTRACT(D168, ""\((\d*)\)"")"),"72.031")</f>
        <v>72.031</v>
      </c>
      <c r="F168" s="8" t="s">
        <v>306</v>
      </c>
      <c r="G168" s="6" t="s">
        <v>307</v>
      </c>
      <c r="H168" s="8" t="s">
        <v>308</v>
      </c>
      <c r="I168" s="10"/>
      <c r="J168" s="10"/>
      <c r="K168" s="6" t="s">
        <v>28</v>
      </c>
      <c r="L168" s="6" t="s">
        <v>309</v>
      </c>
      <c r="M168" s="6" t="s">
        <v>28</v>
      </c>
      <c r="N168" s="6" t="s">
        <v>28</v>
      </c>
      <c r="O168" s="9" t="s">
        <v>310</v>
      </c>
    </row>
    <row r="169" ht="22.5" customHeight="1">
      <c r="A169" s="212"/>
      <c r="F169" s="10"/>
      <c r="G169" s="6" t="s">
        <v>1063</v>
      </c>
      <c r="H169" s="8" t="s">
        <v>1064</v>
      </c>
      <c r="I169" s="8" t="s">
        <v>1065</v>
      </c>
      <c r="J169" s="8" t="s">
        <v>1066</v>
      </c>
      <c r="O169" s="57"/>
    </row>
    <row r="170" ht="22.5" customHeight="1">
      <c r="A170" s="33" t="s">
        <v>14</v>
      </c>
      <c r="B170" s="6" t="s">
        <v>28</v>
      </c>
      <c r="C170" s="6" t="s">
        <v>247</v>
      </c>
      <c r="D170" s="6" t="s">
        <v>248</v>
      </c>
      <c r="E170" s="7" t="str">
        <f>IFERROR(__xludf.DUMMYFUNCTION("""72."" &amp;+ REGEXEXTRACT(D170, ""\((\d*)\)"")"),"72.025")</f>
        <v>72.025</v>
      </c>
      <c r="F170" s="8" t="s">
        <v>249</v>
      </c>
      <c r="G170" s="6" t="s">
        <v>250</v>
      </c>
      <c r="H170" s="8" t="s">
        <v>251</v>
      </c>
      <c r="I170" s="10"/>
      <c r="J170" s="10"/>
      <c r="K170" s="6" t="s">
        <v>252</v>
      </c>
      <c r="L170" s="6" t="s">
        <v>28</v>
      </c>
      <c r="M170" s="6" t="s">
        <v>28</v>
      </c>
      <c r="N170" s="6" t="s">
        <v>28</v>
      </c>
      <c r="O170" s="9" t="s">
        <v>253</v>
      </c>
    </row>
    <row r="171" ht="22.5" customHeight="1">
      <c r="A171" s="36" t="s">
        <v>14</v>
      </c>
      <c r="B171" s="6" t="s">
        <v>268</v>
      </c>
      <c r="C171" s="6" t="s">
        <v>269</v>
      </c>
      <c r="D171" s="6" t="s">
        <v>270</v>
      </c>
      <c r="E171" s="7" t="str">
        <f>IFERROR(__xludf.DUMMYFUNCTION("""72."" &amp;+ REGEXEXTRACT(D171, ""\((\d*)\)"")"),"72.028")</f>
        <v>72.028</v>
      </c>
      <c r="F171" s="8" t="s">
        <v>271</v>
      </c>
      <c r="G171" s="6" t="s">
        <v>272</v>
      </c>
      <c r="H171" s="8" t="s">
        <v>273</v>
      </c>
      <c r="I171" s="10"/>
      <c r="J171" s="10"/>
      <c r="K171" s="6" t="s">
        <v>274</v>
      </c>
      <c r="L171" s="6" t="s">
        <v>275</v>
      </c>
      <c r="M171" s="6" t="s">
        <v>276</v>
      </c>
      <c r="N171" s="6" t="s">
        <v>277</v>
      </c>
      <c r="O171" s="9" t="s">
        <v>278</v>
      </c>
    </row>
    <row r="172" ht="22.5" customHeight="1">
      <c r="A172" s="213"/>
      <c r="F172" s="10"/>
      <c r="G172" s="6" t="s">
        <v>1067</v>
      </c>
      <c r="H172" s="8" t="s">
        <v>1068</v>
      </c>
      <c r="I172" s="10"/>
      <c r="J172" s="10"/>
      <c r="O172" s="57"/>
    </row>
    <row r="173" ht="22.5" customHeight="1">
      <c r="A173" s="214"/>
      <c r="F173" s="10"/>
      <c r="G173" s="6" t="s">
        <v>1069</v>
      </c>
      <c r="H173" s="8" t="s">
        <v>1070</v>
      </c>
      <c r="I173" s="8" t="s">
        <v>1071</v>
      </c>
      <c r="J173" s="8" t="s">
        <v>1072</v>
      </c>
      <c r="O173" s="57"/>
    </row>
    <row r="174" ht="22.5" customHeight="1">
      <c r="A174" s="215"/>
      <c r="F174" s="10"/>
      <c r="G174" s="6" t="s">
        <v>1073</v>
      </c>
      <c r="H174" s="8" t="s">
        <v>1074</v>
      </c>
      <c r="I174" s="10"/>
      <c r="J174" s="10"/>
      <c r="O174" s="57"/>
    </row>
    <row r="175" ht="22.5" customHeight="1">
      <c r="A175" s="216"/>
      <c r="F175" s="10"/>
      <c r="G175" s="6" t="s">
        <v>1075</v>
      </c>
      <c r="H175" s="8" t="s">
        <v>1076</v>
      </c>
      <c r="I175" s="10"/>
      <c r="J175" s="10"/>
      <c r="O175" s="57"/>
    </row>
    <row r="176" ht="22.5" customHeight="1">
      <c r="A176" s="217"/>
      <c r="F176" s="10"/>
      <c r="G176" s="6" t="s">
        <v>1077</v>
      </c>
      <c r="H176" s="8" t="s">
        <v>1078</v>
      </c>
      <c r="I176" s="10"/>
      <c r="J176" s="10"/>
      <c r="O176" s="57"/>
    </row>
    <row r="177" ht="22.5" customHeight="1">
      <c r="A177" s="42" t="s">
        <v>14</v>
      </c>
      <c r="B177" s="6" t="s">
        <v>329</v>
      </c>
      <c r="C177" s="6" t="s">
        <v>330</v>
      </c>
      <c r="D177" s="6" t="s">
        <v>331</v>
      </c>
      <c r="E177" s="7" t="str">
        <f>IFERROR(__xludf.DUMMYFUNCTION("""72."" &amp;+ REGEXEXTRACT(D177, ""\((\d*)\)"")"),"72.034")</f>
        <v>72.034</v>
      </c>
      <c r="F177" s="8" t="s">
        <v>332</v>
      </c>
      <c r="G177" s="6" t="s">
        <v>333</v>
      </c>
      <c r="H177" s="8" t="s">
        <v>334</v>
      </c>
      <c r="I177" s="10"/>
      <c r="J177" s="10"/>
      <c r="K177" s="6" t="s">
        <v>335</v>
      </c>
      <c r="L177" s="6" t="s">
        <v>336</v>
      </c>
      <c r="M177" s="6" t="s">
        <v>337</v>
      </c>
      <c r="N177" s="6" t="s">
        <v>338</v>
      </c>
      <c r="O177" s="9" t="s">
        <v>339</v>
      </c>
    </row>
    <row r="178" ht="22.5" customHeight="1">
      <c r="A178" s="218"/>
      <c r="F178" s="10"/>
      <c r="G178" s="6" t="s">
        <v>1079</v>
      </c>
      <c r="H178" s="8" t="s">
        <v>1080</v>
      </c>
      <c r="I178" s="10"/>
      <c r="J178" s="10"/>
      <c r="O178" s="57"/>
    </row>
    <row r="179" ht="22.5" customHeight="1">
      <c r="A179" s="77" t="s">
        <v>14</v>
      </c>
      <c r="B179" s="6" t="s">
        <v>611</v>
      </c>
      <c r="C179" s="6" t="s">
        <v>612</v>
      </c>
      <c r="D179" s="6" t="s">
        <v>613</v>
      </c>
      <c r="E179" s="7" t="str">
        <f>IFERROR(__xludf.DUMMYFUNCTION("""72."" &amp;+ REGEXEXTRACT(D179, ""\((\d*)\)"")"),"72.063")</f>
        <v>72.063</v>
      </c>
      <c r="F179" s="8" t="s">
        <v>614</v>
      </c>
      <c r="G179" s="6" t="s">
        <v>615</v>
      </c>
      <c r="H179" s="8" t="s">
        <v>616</v>
      </c>
      <c r="I179" s="8" t="s">
        <v>617</v>
      </c>
      <c r="J179" s="8" t="s">
        <v>618</v>
      </c>
      <c r="K179" s="6" t="s">
        <v>28</v>
      </c>
      <c r="L179" s="6" t="s">
        <v>619</v>
      </c>
      <c r="M179" s="6" t="s">
        <v>28</v>
      </c>
      <c r="N179" s="6" t="s">
        <v>28</v>
      </c>
      <c r="O179" s="9" t="s">
        <v>620</v>
      </c>
    </row>
    <row r="180" ht="22.5" customHeight="1">
      <c r="A180" s="219"/>
      <c r="F180" s="10"/>
      <c r="G180" s="6" t="s">
        <v>1081</v>
      </c>
      <c r="H180" s="8" t="s">
        <v>1082</v>
      </c>
      <c r="I180" s="8" t="s">
        <v>1083</v>
      </c>
      <c r="J180" s="8" t="s">
        <v>1084</v>
      </c>
      <c r="O180" s="57"/>
    </row>
    <row r="181" ht="22.5" customHeight="1">
      <c r="A181" s="92" t="s">
        <v>14</v>
      </c>
      <c r="B181" s="6" t="s">
        <v>268</v>
      </c>
      <c r="C181" s="6" t="s">
        <v>715</v>
      </c>
      <c r="D181" s="6" t="s">
        <v>716</v>
      </c>
      <c r="E181" s="7" t="str">
        <f>IFERROR(__xludf.DUMMYFUNCTION("""72."" &amp;+ REGEXEXTRACT(D181, ""\((\d*)\)"")"),"72.147")</f>
        <v>72.147</v>
      </c>
      <c r="F181" s="8" t="s">
        <v>717</v>
      </c>
      <c r="G181" s="6" t="s">
        <v>718</v>
      </c>
      <c r="H181" s="8" t="s">
        <v>719</v>
      </c>
      <c r="I181" s="10"/>
      <c r="J181" s="10"/>
      <c r="K181" s="6" t="s">
        <v>28</v>
      </c>
      <c r="L181" s="6" t="s">
        <v>720</v>
      </c>
      <c r="M181" s="6" t="s">
        <v>28</v>
      </c>
      <c r="N181" s="6" t="s">
        <v>28</v>
      </c>
      <c r="O181" s="9" t="s">
        <v>721</v>
      </c>
    </row>
    <row r="182" ht="22.5" customHeight="1">
      <c r="A182" s="50" t="s">
        <v>14</v>
      </c>
      <c r="B182" s="6" t="s">
        <v>407</v>
      </c>
      <c r="C182" s="6" t="s">
        <v>408</v>
      </c>
      <c r="D182" s="6" t="s">
        <v>409</v>
      </c>
      <c r="E182" s="7" t="str">
        <f>IFERROR(__xludf.DUMMYFUNCTION("""72."" &amp;+ REGEXEXTRACT(D182, ""\((\d*)\)"")"),"72.042")</f>
        <v>72.042</v>
      </c>
      <c r="F182" s="8" t="s">
        <v>410</v>
      </c>
      <c r="G182" s="6" t="s">
        <v>411</v>
      </c>
      <c r="H182" s="8" t="s">
        <v>412</v>
      </c>
      <c r="I182" s="10"/>
      <c r="J182" s="10"/>
      <c r="K182" s="6" t="s">
        <v>413</v>
      </c>
      <c r="L182" s="6" t="s">
        <v>414</v>
      </c>
      <c r="M182" s="6" t="s">
        <v>28</v>
      </c>
      <c r="N182" s="6" t="s">
        <v>415</v>
      </c>
      <c r="O182" s="9" t="s">
        <v>416</v>
      </c>
    </row>
    <row r="183" ht="22.5" customHeight="1">
      <c r="A183" s="19" t="s">
        <v>14</v>
      </c>
      <c r="B183" s="6" t="s">
        <v>116</v>
      </c>
      <c r="C183" s="6" t="s">
        <v>117</v>
      </c>
      <c r="D183" s="6" t="s">
        <v>118</v>
      </c>
      <c r="E183" s="7" t="str">
        <f>IFERROR(__xludf.DUMMYFUNCTION("""72."" &amp;+ REGEXEXTRACT(D183, ""\((\d*)\)"")"),"72.011")</f>
        <v>72.011</v>
      </c>
      <c r="F183" s="8" t="s">
        <v>119</v>
      </c>
      <c r="G183" s="6" t="s">
        <v>120</v>
      </c>
      <c r="H183" s="8" t="s">
        <v>121</v>
      </c>
      <c r="I183" s="8" t="s">
        <v>122</v>
      </c>
      <c r="J183" s="8" t="s">
        <v>123</v>
      </c>
      <c r="K183" s="6" t="s">
        <v>124</v>
      </c>
      <c r="L183" s="6" t="s">
        <v>125</v>
      </c>
      <c r="M183" s="6" t="s">
        <v>28</v>
      </c>
      <c r="N183" s="6" t="s">
        <v>126</v>
      </c>
      <c r="O183" s="9" t="s">
        <v>127</v>
      </c>
    </row>
    <row r="184" ht="22.5" customHeight="1">
      <c r="A184" s="220"/>
      <c r="F184" s="10"/>
      <c r="G184" s="6" t="s">
        <v>1085</v>
      </c>
      <c r="H184" s="8" t="s">
        <v>1086</v>
      </c>
      <c r="I184" s="10"/>
      <c r="J184" s="10"/>
      <c r="O184" s="57"/>
    </row>
    <row r="185" ht="22.5" customHeight="1">
      <c r="A185" s="51" t="s">
        <v>14</v>
      </c>
      <c r="B185" s="6" t="s">
        <v>417</v>
      </c>
      <c r="C185" s="6" t="s">
        <v>418</v>
      </c>
      <c r="D185" s="6" t="s">
        <v>419</v>
      </c>
      <c r="E185" s="7" t="str">
        <f>IFERROR(__xludf.DUMMYFUNCTION("""72."" &amp;+ REGEXEXTRACT(D185, ""\((\d*)\)"")"),"72.043")</f>
        <v>72.043</v>
      </c>
      <c r="F185" s="8" t="s">
        <v>420</v>
      </c>
      <c r="G185" s="6" t="s">
        <v>421</v>
      </c>
      <c r="H185" s="8" t="s">
        <v>422</v>
      </c>
      <c r="I185" s="8" t="s">
        <v>423</v>
      </c>
      <c r="J185" s="8" t="s">
        <v>424</v>
      </c>
      <c r="K185" s="6" t="s">
        <v>425</v>
      </c>
      <c r="L185" s="6" t="s">
        <v>426</v>
      </c>
      <c r="M185" s="6" t="s">
        <v>28</v>
      </c>
      <c r="N185" s="6" t="s">
        <v>427</v>
      </c>
      <c r="O185" s="9" t="s">
        <v>428</v>
      </c>
    </row>
    <row r="186" ht="22.5" customHeight="1">
      <c r="A186" s="100"/>
      <c r="B186" s="6" t="s">
        <v>417</v>
      </c>
      <c r="C186" s="6" t="s">
        <v>766</v>
      </c>
      <c r="D186" s="6" t="s">
        <v>767</v>
      </c>
      <c r="E186" s="7" t="str">
        <f>IFERROR(__xludf.DUMMYFUNCTION("""72."" &amp;+ REGEXEXTRACT(D186, ""\((\d*)\)"")"),"72.154")</f>
        <v>72.154</v>
      </c>
      <c r="F186" s="8" t="s">
        <v>768</v>
      </c>
      <c r="G186" s="6" t="s">
        <v>421</v>
      </c>
      <c r="H186" s="8" t="s">
        <v>422</v>
      </c>
      <c r="I186" s="8" t="s">
        <v>423</v>
      </c>
      <c r="J186" s="8" t="s">
        <v>424</v>
      </c>
      <c r="K186" s="6" t="s">
        <v>28</v>
      </c>
      <c r="L186" s="6" t="s">
        <v>769</v>
      </c>
      <c r="M186" s="6" t="s">
        <v>28</v>
      </c>
      <c r="N186" s="6" t="s">
        <v>28</v>
      </c>
      <c r="O186" s="9" t="s">
        <v>770</v>
      </c>
    </row>
    <row r="187" ht="22.5" customHeight="1">
      <c r="A187" s="53" t="s">
        <v>14</v>
      </c>
      <c r="B187" s="6" t="s">
        <v>438</v>
      </c>
      <c r="C187" s="6" t="s">
        <v>439</v>
      </c>
      <c r="D187" s="6" t="s">
        <v>440</v>
      </c>
      <c r="E187" s="7" t="str">
        <f>IFERROR(__xludf.DUMMYFUNCTION("""72."" &amp;+ REGEXEXTRACT(D187, ""\((\d*)\)"")"),"72.045")</f>
        <v>72.045</v>
      </c>
      <c r="F187" s="8" t="s">
        <v>441</v>
      </c>
      <c r="G187" s="6" t="s">
        <v>442</v>
      </c>
      <c r="H187" s="8" t="s">
        <v>443</v>
      </c>
      <c r="I187" s="8" t="s">
        <v>444</v>
      </c>
      <c r="J187" s="8" t="s">
        <v>445</v>
      </c>
      <c r="K187" s="6" t="s">
        <v>446</v>
      </c>
      <c r="L187" s="6" t="s">
        <v>447</v>
      </c>
      <c r="M187" s="6" t="s">
        <v>448</v>
      </c>
      <c r="N187" s="6" t="s">
        <v>28</v>
      </c>
      <c r="O187" s="9" t="s">
        <v>449</v>
      </c>
    </row>
    <row r="188" ht="22.5" customHeight="1">
      <c r="A188" s="221"/>
      <c r="F188" s="10"/>
      <c r="G188" s="6" t="s">
        <v>1087</v>
      </c>
      <c r="H188" s="8" t="s">
        <v>1088</v>
      </c>
      <c r="I188" s="10"/>
      <c r="J188" s="10"/>
      <c r="O188" s="57"/>
    </row>
    <row r="189" ht="22.5" customHeight="1">
      <c r="A189" s="222"/>
      <c r="F189" s="10"/>
      <c r="G189" s="6" t="s">
        <v>1089</v>
      </c>
      <c r="H189" s="8" t="s">
        <v>1090</v>
      </c>
      <c r="I189" s="10"/>
      <c r="J189" s="10"/>
      <c r="O189" s="57"/>
    </row>
    <row r="190" ht="22.5" customHeight="1">
      <c r="A190" s="223"/>
      <c r="F190" s="10"/>
      <c r="G190" s="6" t="s">
        <v>1091</v>
      </c>
      <c r="H190" s="8" t="s">
        <v>1092</v>
      </c>
      <c r="I190" s="10"/>
      <c r="J190" s="10"/>
      <c r="O190" s="57"/>
    </row>
    <row r="191" ht="22.5" customHeight="1">
      <c r="A191" s="224"/>
      <c r="F191" s="10"/>
      <c r="G191" s="6" t="s">
        <v>1093</v>
      </c>
      <c r="H191" s="8" t="s">
        <v>1094</v>
      </c>
      <c r="I191" s="10"/>
      <c r="J191" s="10"/>
      <c r="O191" s="57"/>
    </row>
    <row r="192" ht="22.5" customHeight="1">
      <c r="A192" s="225"/>
      <c r="F192" s="10"/>
      <c r="G192" s="6" t="s">
        <v>1095</v>
      </c>
      <c r="H192" s="8" t="s">
        <v>1096</v>
      </c>
      <c r="I192" s="8" t="s">
        <v>1097</v>
      </c>
      <c r="J192" s="8" t="s">
        <v>1098</v>
      </c>
      <c r="O192" s="57"/>
    </row>
    <row r="193" ht="22.5" customHeight="1">
      <c r="A193" s="226"/>
      <c r="F193" s="10"/>
      <c r="G193" s="6" t="s">
        <v>1099</v>
      </c>
      <c r="H193" s="8" t="s">
        <v>1100</v>
      </c>
      <c r="I193" s="10"/>
      <c r="J193" s="10"/>
      <c r="O193" s="57"/>
    </row>
    <row r="194" ht="22.5" customHeight="1">
      <c r="A194" s="227"/>
      <c r="F194" s="10"/>
      <c r="G194" s="6" t="s">
        <v>1101</v>
      </c>
      <c r="H194" s="8" t="s">
        <v>1102</v>
      </c>
      <c r="I194" s="10"/>
      <c r="J194" s="10"/>
      <c r="O194" s="57"/>
    </row>
    <row r="195" ht="22.5" customHeight="1">
      <c r="A195" s="54" t="s">
        <v>14</v>
      </c>
      <c r="B195" s="6" t="s">
        <v>28</v>
      </c>
      <c r="C195" s="6" t="s">
        <v>450</v>
      </c>
      <c r="D195" s="6" t="s">
        <v>451</v>
      </c>
      <c r="E195" s="7" t="str">
        <f>IFERROR(__xludf.DUMMYFUNCTION("""72."" &amp;+ REGEXEXTRACT(D195, ""\((\d*)\)"")"),"72.046")</f>
        <v>72.046</v>
      </c>
      <c r="F195" s="8" t="s">
        <v>452</v>
      </c>
      <c r="G195" s="6" t="s">
        <v>453</v>
      </c>
      <c r="H195" s="8" t="s">
        <v>454</v>
      </c>
      <c r="I195" s="10"/>
      <c r="J195" s="10"/>
      <c r="K195" s="6" t="s">
        <v>28</v>
      </c>
      <c r="L195" s="6" t="s">
        <v>455</v>
      </c>
      <c r="M195" s="6" t="s">
        <v>28</v>
      </c>
      <c r="N195" s="6" t="s">
        <v>28</v>
      </c>
      <c r="O195" s="9" t="s">
        <v>456</v>
      </c>
    </row>
    <row r="196" ht="22.5" customHeight="1">
      <c r="A196" s="228"/>
      <c r="F196" s="10"/>
      <c r="G196" s="6" t="s">
        <v>1103</v>
      </c>
      <c r="H196" s="8" t="s">
        <v>1104</v>
      </c>
      <c r="I196" s="10"/>
      <c r="J196" s="10"/>
      <c r="O196" s="57"/>
    </row>
    <row r="197" ht="22.5" customHeight="1">
      <c r="A197" s="101" t="s">
        <v>14</v>
      </c>
      <c r="B197" s="6" t="s">
        <v>771</v>
      </c>
      <c r="C197" s="6" t="s">
        <v>772</v>
      </c>
      <c r="D197" s="6" t="s">
        <v>773</v>
      </c>
      <c r="E197" s="7" t="str">
        <f>IFERROR(__xludf.DUMMYFUNCTION("""72."" &amp;+ REGEXEXTRACT(D197, ""\((\d*)\)"")"),"72.155")</f>
        <v>72.155</v>
      </c>
      <c r="F197" s="8" t="s">
        <v>774</v>
      </c>
      <c r="G197" s="6" t="s">
        <v>775</v>
      </c>
      <c r="H197" s="8" t="s">
        <v>776</v>
      </c>
      <c r="I197" s="10"/>
      <c r="J197" s="10"/>
      <c r="K197" s="6" t="s">
        <v>28</v>
      </c>
      <c r="L197" s="6" t="s">
        <v>777</v>
      </c>
      <c r="M197" s="6" t="s">
        <v>28</v>
      </c>
      <c r="N197" s="6" t="s">
        <v>28</v>
      </c>
      <c r="O197" s="9" t="s">
        <v>778</v>
      </c>
    </row>
    <row r="198" ht="22.5" customHeight="1">
      <c r="A198" s="64" t="s">
        <v>14</v>
      </c>
      <c r="B198" s="6" t="s">
        <v>542</v>
      </c>
      <c r="C198" s="6" t="s">
        <v>543</v>
      </c>
      <c r="D198" s="6" t="s">
        <v>544</v>
      </c>
      <c r="E198" s="7" t="str">
        <f>IFERROR(__xludf.DUMMYFUNCTION("""72."" &amp;+ REGEXEXTRACT(D198, ""\((\d*)\)"")"),"72.055")</f>
        <v>72.055</v>
      </c>
      <c r="F198" s="8" t="s">
        <v>545</v>
      </c>
      <c r="G198" s="6" t="s">
        <v>546</v>
      </c>
      <c r="H198" s="8" t="s">
        <v>547</v>
      </c>
      <c r="I198" s="8" t="s">
        <v>548</v>
      </c>
      <c r="J198" s="8" t="s">
        <v>549</v>
      </c>
      <c r="K198" s="6" t="s">
        <v>28</v>
      </c>
      <c r="L198" s="6" t="s">
        <v>550</v>
      </c>
      <c r="M198" s="6" t="s">
        <v>551</v>
      </c>
      <c r="N198" s="6" t="s">
        <v>28</v>
      </c>
      <c r="O198" s="9" t="s">
        <v>552</v>
      </c>
    </row>
    <row r="199" ht="22.5" customHeight="1">
      <c r="A199" s="61" t="s">
        <v>14</v>
      </c>
      <c r="B199" s="6" t="s">
        <v>508</v>
      </c>
      <c r="C199" s="6" t="s">
        <v>509</v>
      </c>
      <c r="D199" s="6" t="s">
        <v>510</v>
      </c>
      <c r="E199" s="7" t="str">
        <f>IFERROR(__xludf.DUMMYFUNCTION("""72."" &amp;+ REGEXEXTRACT(D199, ""\((\d*)\)"")"),"72.052")</f>
        <v>72.052</v>
      </c>
      <c r="F199" s="8" t="s">
        <v>511</v>
      </c>
      <c r="G199" s="6" t="s">
        <v>512</v>
      </c>
      <c r="H199" s="8" t="s">
        <v>513</v>
      </c>
      <c r="I199" s="8" t="s">
        <v>514</v>
      </c>
      <c r="J199" s="8" t="s">
        <v>515</v>
      </c>
      <c r="K199" s="6" t="s">
        <v>516</v>
      </c>
      <c r="L199" s="6" t="s">
        <v>517</v>
      </c>
      <c r="M199" s="6" t="s">
        <v>28</v>
      </c>
      <c r="N199" s="6" t="s">
        <v>518</v>
      </c>
      <c r="O199" s="9" t="s">
        <v>519</v>
      </c>
    </row>
    <row r="200" ht="22.5" customHeight="1">
      <c r="A200" s="71" t="s">
        <v>14</v>
      </c>
      <c r="B200" s="6" t="s">
        <v>562</v>
      </c>
      <c r="C200" s="6" t="s">
        <v>563</v>
      </c>
      <c r="D200" s="6" t="s">
        <v>564</v>
      </c>
      <c r="E200" s="7" t="str">
        <f>IFERROR(__xludf.DUMMYFUNCTION("""72."" &amp;+ REGEXEXTRACT(D200, ""\((\d*)\)"")"),"72.057")</f>
        <v>72.057</v>
      </c>
      <c r="F200" s="8" t="s">
        <v>565</v>
      </c>
      <c r="G200" s="6" t="s">
        <v>566</v>
      </c>
      <c r="H200" s="8" t="s">
        <v>567</v>
      </c>
      <c r="I200" s="10"/>
      <c r="J200" s="10"/>
      <c r="K200" s="6" t="s">
        <v>28</v>
      </c>
      <c r="L200" s="6" t="s">
        <v>568</v>
      </c>
      <c r="M200" s="6" t="s">
        <v>28</v>
      </c>
      <c r="N200" s="6" t="s">
        <v>569</v>
      </c>
      <c r="O200" s="9" t="s">
        <v>570</v>
      </c>
    </row>
    <row r="201" ht="22.5" customHeight="1">
      <c r="A201" s="73" t="s">
        <v>14</v>
      </c>
      <c r="B201" s="6" t="s">
        <v>28</v>
      </c>
      <c r="C201" s="6" t="s">
        <v>579</v>
      </c>
      <c r="D201" s="6" t="s">
        <v>580</v>
      </c>
      <c r="E201" s="7" t="str">
        <f>IFERROR(__xludf.DUMMYFUNCTION("""72."" &amp;+ REGEXEXTRACT(D201, ""\((\d*)\)"")"),"72.059")</f>
        <v>72.059</v>
      </c>
      <c r="F201" s="8" t="s">
        <v>581</v>
      </c>
      <c r="G201" s="6" t="s">
        <v>582</v>
      </c>
      <c r="H201" s="8" t="s">
        <v>583</v>
      </c>
      <c r="I201" s="10"/>
      <c r="J201" s="10"/>
      <c r="K201" s="6" t="s">
        <v>28</v>
      </c>
      <c r="L201" s="6" t="s">
        <v>584</v>
      </c>
      <c r="M201" s="6" t="s">
        <v>28</v>
      </c>
      <c r="N201" s="6" t="s">
        <v>28</v>
      </c>
      <c r="O201" s="9" t="s">
        <v>585</v>
      </c>
    </row>
    <row r="202" ht="22.5" customHeight="1">
      <c r="A202" s="184"/>
      <c r="F202" s="10"/>
      <c r="H202" s="10"/>
      <c r="I202" s="8" t="s">
        <v>1105</v>
      </c>
      <c r="J202" s="8" t="s">
        <v>998</v>
      </c>
      <c r="O202" s="57"/>
    </row>
    <row r="203" ht="22.5" customHeight="1">
      <c r="A203" s="229"/>
      <c r="F203" s="10"/>
      <c r="H203" s="10"/>
      <c r="I203" s="8" t="s">
        <v>1106</v>
      </c>
      <c r="J203" s="8" t="s">
        <v>1107</v>
      </c>
      <c r="O203" s="57"/>
    </row>
    <row r="204" ht="22.5" customHeight="1">
      <c r="A204" s="230"/>
      <c r="F204" s="10"/>
      <c r="H204" s="10"/>
      <c r="I204" s="8" t="s">
        <v>1108</v>
      </c>
      <c r="J204" s="8" t="s">
        <v>1109</v>
      </c>
      <c r="O204" s="57"/>
    </row>
    <row r="205" ht="22.5" customHeight="1">
      <c r="A205" s="231"/>
      <c r="F205" s="10"/>
      <c r="H205" s="10"/>
      <c r="I205" s="8" t="s">
        <v>1110</v>
      </c>
      <c r="J205" s="8" t="s">
        <v>1111</v>
      </c>
      <c r="O205" s="57"/>
    </row>
    <row r="206" ht="22.5" customHeight="1">
      <c r="A206" s="232"/>
      <c r="F206" s="10"/>
      <c r="H206" s="10"/>
      <c r="I206" s="8" t="s">
        <v>1112</v>
      </c>
      <c r="J206" s="8" t="s">
        <v>1113</v>
      </c>
      <c r="O206" s="57"/>
    </row>
    <row r="207" ht="22.5" customHeight="1">
      <c r="A207" s="233"/>
      <c r="F207" s="10"/>
      <c r="H207" s="10"/>
      <c r="I207" s="8" t="s">
        <v>1114</v>
      </c>
      <c r="J207" s="8" t="s">
        <v>1115</v>
      </c>
      <c r="O207" s="57"/>
    </row>
    <row r="208" ht="22.5" customHeight="1">
      <c r="A208" s="234"/>
      <c r="F208" s="10"/>
      <c r="H208" s="10"/>
      <c r="I208" s="8" t="s">
        <v>1116</v>
      </c>
      <c r="J208" s="8" t="s">
        <v>1117</v>
      </c>
      <c r="O208" s="57"/>
    </row>
    <row r="209" ht="22.5" customHeight="1">
      <c r="A209" s="235"/>
      <c r="F209" s="10"/>
      <c r="H209" s="10"/>
      <c r="I209" s="8" t="s">
        <v>1118</v>
      </c>
      <c r="J209" s="8" t="s">
        <v>1119</v>
      </c>
      <c r="O209" s="57"/>
    </row>
    <row r="210" ht="22.5" customHeight="1">
      <c r="A210" s="236"/>
      <c r="F210" s="10"/>
      <c r="H210" s="10"/>
      <c r="I210" s="8" t="s">
        <v>1120</v>
      </c>
      <c r="J210" s="8" t="s">
        <v>1121</v>
      </c>
      <c r="O210" s="57"/>
    </row>
    <row r="211" ht="22.5" customHeight="1">
      <c r="A211" s="237"/>
      <c r="F211" s="10"/>
      <c r="H211" s="10"/>
      <c r="I211" s="8" t="s">
        <v>1122</v>
      </c>
      <c r="J211" s="8" t="s">
        <v>1123</v>
      </c>
      <c r="O211" s="57"/>
    </row>
    <row r="212" ht="22.5" customHeight="1">
      <c r="A212" s="238"/>
      <c r="F212" s="10"/>
      <c r="H212" s="10"/>
      <c r="I212" s="8" t="s">
        <v>1124</v>
      </c>
      <c r="J212" s="8" t="s">
        <v>1125</v>
      </c>
      <c r="O212" s="57"/>
    </row>
    <row r="213" ht="22.5" customHeight="1">
      <c r="A213" s="239"/>
      <c r="F213" s="10"/>
      <c r="H213" s="10"/>
      <c r="I213" s="6" t="s">
        <v>1126</v>
      </c>
      <c r="J213" s="8" t="s">
        <v>1127</v>
      </c>
      <c r="O213" s="57"/>
    </row>
    <row r="214" ht="22.5" customHeight="1">
      <c r="A214" s="240"/>
      <c r="F214" s="10"/>
      <c r="H214" s="10"/>
      <c r="I214" s="8" t="s">
        <v>1128</v>
      </c>
      <c r="J214" s="8" t="s">
        <v>1129</v>
      </c>
      <c r="O214" s="57"/>
    </row>
    <row r="215" ht="22.5" customHeight="1">
      <c r="A215" s="241"/>
      <c r="F215" s="10"/>
      <c r="H215" s="10"/>
      <c r="I215" s="8" t="s">
        <v>1130</v>
      </c>
      <c r="J215" s="8" t="s">
        <v>1131</v>
      </c>
      <c r="O215" s="57"/>
    </row>
    <row r="216" ht="22.5" customHeight="1">
      <c r="A216" s="242"/>
      <c r="F216" s="10"/>
      <c r="H216" s="10"/>
      <c r="I216" s="8" t="s">
        <v>1132</v>
      </c>
      <c r="J216" s="8" t="s">
        <v>1133</v>
      </c>
      <c r="O216" s="57"/>
    </row>
    <row r="217" ht="22.5" customHeight="1">
      <c r="A217" s="243"/>
      <c r="F217" s="10"/>
      <c r="H217" s="10"/>
      <c r="I217" s="8" t="s">
        <v>1134</v>
      </c>
      <c r="J217" s="8" t="s">
        <v>1135</v>
      </c>
      <c r="O217" s="57"/>
    </row>
    <row r="218" ht="22.5" customHeight="1">
      <c r="A218" s="244"/>
      <c r="F218" s="10"/>
      <c r="H218" s="10"/>
      <c r="I218" s="8" t="s">
        <v>1136</v>
      </c>
      <c r="J218" s="8" t="s">
        <v>1137</v>
      </c>
      <c r="O218" s="57"/>
    </row>
    <row r="219" ht="22.5" customHeight="1">
      <c r="A219" s="245"/>
      <c r="F219" s="10"/>
      <c r="H219" s="10"/>
      <c r="I219" s="8" t="s">
        <v>1138</v>
      </c>
      <c r="J219" s="8" t="s">
        <v>1139</v>
      </c>
      <c r="O219" s="57"/>
    </row>
    <row r="220" ht="22.5" customHeight="1">
      <c r="A220" s="246"/>
      <c r="F220" s="10"/>
      <c r="H220" s="10"/>
      <c r="I220" s="8" t="s">
        <v>1140</v>
      </c>
      <c r="J220" s="8" t="s">
        <v>1141</v>
      </c>
      <c r="O220" s="57"/>
    </row>
    <row r="221" ht="22.5" customHeight="1">
      <c r="A221" s="247"/>
      <c r="F221" s="10"/>
      <c r="H221" s="10"/>
      <c r="I221" s="8" t="s">
        <v>1142</v>
      </c>
      <c r="J221" s="8" t="s">
        <v>1143</v>
      </c>
      <c r="O221" s="57"/>
    </row>
    <row r="222" ht="22.5" customHeight="1">
      <c r="A222" s="248"/>
      <c r="F222" s="10"/>
      <c r="H222" s="10"/>
      <c r="I222" s="8" t="s">
        <v>1144</v>
      </c>
      <c r="J222" s="8" t="s">
        <v>1145</v>
      </c>
      <c r="O222" s="57"/>
    </row>
    <row r="223" ht="22.5" customHeight="1">
      <c r="A223" s="249"/>
      <c r="F223" s="10"/>
      <c r="H223" s="10"/>
      <c r="I223" s="8" t="s">
        <v>1146</v>
      </c>
      <c r="J223" s="8" t="s">
        <v>1147</v>
      </c>
      <c r="O223" s="57"/>
    </row>
    <row r="224" ht="22.5" customHeight="1">
      <c r="A224" s="250"/>
      <c r="F224" s="10"/>
      <c r="H224" s="10"/>
      <c r="I224" s="8" t="s">
        <v>1148</v>
      </c>
      <c r="J224" s="8" t="s">
        <v>1149</v>
      </c>
      <c r="O224" s="57"/>
    </row>
    <row r="225" ht="22.5" customHeight="1">
      <c r="A225" s="251"/>
      <c r="F225" s="10"/>
      <c r="H225" s="10"/>
      <c r="I225" s="8" t="s">
        <v>1150</v>
      </c>
      <c r="J225" s="8" t="s">
        <v>1151</v>
      </c>
      <c r="O225" s="57"/>
    </row>
    <row r="226" ht="22.5" customHeight="1">
      <c r="A226" s="252"/>
      <c r="F226" s="10"/>
      <c r="H226" s="10"/>
      <c r="I226" s="8" t="s">
        <v>1152</v>
      </c>
      <c r="J226" s="8" t="s">
        <v>1153</v>
      </c>
      <c r="O226" s="57"/>
    </row>
    <row r="227" ht="22.5" customHeight="1">
      <c r="A227" s="253"/>
      <c r="F227" s="10"/>
      <c r="H227" s="10"/>
      <c r="I227" s="8" t="s">
        <v>1154</v>
      </c>
      <c r="J227" s="8" t="s">
        <v>1155</v>
      </c>
      <c r="O227" s="57"/>
    </row>
    <row r="228" ht="22.5" customHeight="1">
      <c r="A228" s="254"/>
      <c r="F228" s="10"/>
      <c r="H228" s="10"/>
      <c r="I228" s="8" t="s">
        <v>1156</v>
      </c>
      <c r="J228" s="8" t="s">
        <v>1157</v>
      </c>
      <c r="O228" s="57"/>
    </row>
    <row r="229" ht="22.5" customHeight="1">
      <c r="A229" s="255"/>
      <c r="F229" s="10"/>
      <c r="H229" s="10"/>
      <c r="I229" s="8" t="s">
        <v>1158</v>
      </c>
      <c r="J229" s="8" t="s">
        <v>1159</v>
      </c>
      <c r="O229" s="57"/>
    </row>
    <row r="230" ht="22.5" customHeight="1">
      <c r="A230" s="256"/>
      <c r="F230" s="10"/>
      <c r="H230" s="10"/>
      <c r="I230" s="8" t="s">
        <v>1160</v>
      </c>
      <c r="J230" s="8" t="s">
        <v>1161</v>
      </c>
      <c r="O230" s="57"/>
    </row>
    <row r="231" ht="22.5" customHeight="1">
      <c r="A231" s="257"/>
      <c r="F231" s="10"/>
      <c r="H231" s="10"/>
      <c r="I231" s="8" t="s">
        <v>1162</v>
      </c>
      <c r="J231" s="8" t="s">
        <v>1163</v>
      </c>
      <c r="O231" s="57"/>
    </row>
    <row r="232" ht="22.5" customHeight="1">
      <c r="A232" s="258"/>
      <c r="F232" s="10"/>
      <c r="H232" s="10"/>
      <c r="I232" s="8" t="s">
        <v>1164</v>
      </c>
      <c r="J232" s="8" t="s">
        <v>1165</v>
      </c>
      <c r="O232" s="57"/>
    </row>
    <row r="233" ht="22.5" customHeight="1">
      <c r="A233" s="259"/>
      <c r="F233" s="10"/>
      <c r="H233" s="10"/>
      <c r="I233" s="8" t="s">
        <v>1166</v>
      </c>
      <c r="J233" s="8" t="s">
        <v>1167</v>
      </c>
      <c r="O233" s="57"/>
    </row>
    <row r="234" ht="22.5" customHeight="1">
      <c r="A234" s="260"/>
      <c r="F234" s="10"/>
      <c r="H234" s="10"/>
      <c r="I234" s="8" t="s">
        <v>1168</v>
      </c>
      <c r="J234" s="8" t="s">
        <v>1169</v>
      </c>
      <c r="O234" s="57"/>
    </row>
    <row r="235" ht="22.5" customHeight="1">
      <c r="A235" s="261"/>
      <c r="F235" s="10"/>
      <c r="H235" s="10"/>
      <c r="I235" s="8" t="s">
        <v>1170</v>
      </c>
      <c r="J235" s="8" t="s">
        <v>1171</v>
      </c>
      <c r="O235" s="57"/>
    </row>
    <row r="236" ht="22.5" customHeight="1">
      <c r="A236" s="262"/>
      <c r="F236" s="10"/>
      <c r="H236" s="10"/>
      <c r="I236" s="8" t="s">
        <v>1172</v>
      </c>
      <c r="J236" s="8" t="s">
        <v>1173</v>
      </c>
      <c r="O236" s="57"/>
    </row>
    <row r="237" ht="22.5" customHeight="1">
      <c r="A237" s="263"/>
      <c r="F237" s="10"/>
      <c r="H237" s="10"/>
      <c r="I237" s="8" t="s">
        <v>1174</v>
      </c>
      <c r="J237" s="8" t="s">
        <v>1175</v>
      </c>
      <c r="O237" s="57"/>
    </row>
    <row r="238" ht="22.5" customHeight="1">
      <c r="A238" s="264"/>
      <c r="F238" s="10"/>
      <c r="H238" s="10"/>
      <c r="I238" s="8" t="s">
        <v>1176</v>
      </c>
      <c r="J238" s="8" t="s">
        <v>1177</v>
      </c>
      <c r="O238" s="57"/>
    </row>
    <row r="239" ht="22.5" customHeight="1">
      <c r="A239" s="265"/>
      <c r="F239" s="10"/>
      <c r="H239" s="158"/>
      <c r="I239" s="162" t="s">
        <v>1178</v>
      </c>
      <c r="J239" s="8" t="s">
        <v>1179</v>
      </c>
      <c r="O239" s="57"/>
    </row>
    <row r="240" ht="22.5" customHeight="1">
      <c r="A240" s="266"/>
      <c r="F240" s="10"/>
      <c r="H240" s="158"/>
      <c r="I240" s="162" t="s">
        <v>1180</v>
      </c>
      <c r="J240" s="8" t="s">
        <v>1181</v>
      </c>
      <c r="O240" s="57"/>
    </row>
    <row r="241" ht="22.5" customHeight="1">
      <c r="A241" s="267"/>
      <c r="F241" s="10"/>
      <c r="H241" s="158"/>
      <c r="I241" s="162" t="s">
        <v>1182</v>
      </c>
      <c r="J241" s="8" t="s">
        <v>1183</v>
      </c>
      <c r="O241" s="57"/>
    </row>
    <row r="242" ht="22.5" customHeight="1">
      <c r="A242" s="268"/>
      <c r="F242" s="10"/>
      <c r="H242" s="158"/>
      <c r="I242" s="162" t="s">
        <v>1184</v>
      </c>
      <c r="J242" s="8" t="s">
        <v>1185</v>
      </c>
      <c r="O242" s="57"/>
    </row>
    <row r="243" ht="22.5" customHeight="1">
      <c r="A243" s="269"/>
      <c r="F243" s="10"/>
      <c r="H243" s="10"/>
      <c r="I243" s="8" t="s">
        <v>1186</v>
      </c>
      <c r="J243" s="8" t="s">
        <v>1187</v>
      </c>
      <c r="O243" s="57"/>
    </row>
    <row r="244" ht="22.5" customHeight="1">
      <c r="A244" s="270"/>
      <c r="F244" s="10"/>
      <c r="H244" s="10"/>
      <c r="I244" s="8" t="s">
        <v>1188</v>
      </c>
      <c r="J244" s="8" t="s">
        <v>1189</v>
      </c>
      <c r="O244" s="57"/>
    </row>
    <row r="245" ht="22.5" customHeight="1">
      <c r="A245" s="271"/>
      <c r="F245" s="10"/>
      <c r="H245" s="10"/>
      <c r="I245" s="8" t="s">
        <v>1190</v>
      </c>
      <c r="J245" s="8" t="s">
        <v>1191</v>
      </c>
      <c r="O245" s="57"/>
    </row>
    <row r="246" ht="22.5" customHeight="1">
      <c r="A246" s="272"/>
      <c r="F246" s="10"/>
      <c r="H246" s="10"/>
      <c r="I246" s="8" t="s">
        <v>1192</v>
      </c>
      <c r="J246" s="8" t="s">
        <v>1193</v>
      </c>
      <c r="O246" s="57"/>
    </row>
    <row r="247" ht="22.5" customHeight="1">
      <c r="A247" s="273"/>
      <c r="F247" s="10"/>
      <c r="H247" s="10"/>
      <c r="I247" s="8" t="s">
        <v>1194</v>
      </c>
      <c r="J247" s="8" t="s">
        <v>1195</v>
      </c>
      <c r="O247" s="57"/>
    </row>
    <row r="248" ht="22.5" customHeight="1">
      <c r="A248" s="274"/>
      <c r="F248" s="10"/>
      <c r="H248" s="10"/>
      <c r="I248" s="8" t="s">
        <v>1196</v>
      </c>
      <c r="J248" s="8" t="s">
        <v>1197</v>
      </c>
      <c r="O248" s="57"/>
    </row>
    <row r="249" ht="22.5" customHeight="1">
      <c r="A249" s="275"/>
      <c r="F249" s="10"/>
      <c r="H249" s="10"/>
      <c r="I249" s="8" t="s">
        <v>1198</v>
      </c>
      <c r="J249" s="8" t="s">
        <v>1199</v>
      </c>
      <c r="O249" s="57"/>
    </row>
    <row r="250" ht="22.5" customHeight="1">
      <c r="A250" s="276"/>
      <c r="F250" s="10"/>
      <c r="H250" s="10"/>
      <c r="I250" s="8" t="s">
        <v>1200</v>
      </c>
      <c r="J250" s="8" t="s">
        <v>1201</v>
      </c>
      <c r="O250" s="57"/>
    </row>
    <row r="251" ht="22.5" customHeight="1">
      <c r="A251" s="277"/>
      <c r="F251" s="10"/>
      <c r="H251" s="10"/>
      <c r="I251" s="8" t="s">
        <v>1202</v>
      </c>
      <c r="J251" s="8" t="s">
        <v>1203</v>
      </c>
      <c r="O251" s="57"/>
    </row>
    <row r="252" ht="22.5" customHeight="1">
      <c r="A252" s="278"/>
      <c r="F252" s="10"/>
      <c r="H252" s="10"/>
      <c r="I252" s="8" t="s">
        <v>1204</v>
      </c>
      <c r="J252" s="8" t="s">
        <v>1205</v>
      </c>
      <c r="O252" s="57"/>
    </row>
    <row r="253" ht="22.5" customHeight="1">
      <c r="A253" s="279"/>
      <c r="F253" s="10"/>
      <c r="H253" s="10"/>
      <c r="I253" s="8" t="s">
        <v>1206</v>
      </c>
      <c r="J253" s="8" t="s">
        <v>1207</v>
      </c>
      <c r="O253" s="9" t="s">
        <v>1208</v>
      </c>
    </row>
    <row r="254" ht="22.5" customHeight="1">
      <c r="A254" s="280"/>
      <c r="F254" s="10"/>
      <c r="H254" s="10"/>
      <c r="I254" s="8" t="s">
        <v>1209</v>
      </c>
      <c r="J254" s="8" t="s">
        <v>1210</v>
      </c>
      <c r="O254" s="9" t="s">
        <v>1211</v>
      </c>
    </row>
    <row r="255" ht="22.5" customHeight="1">
      <c r="A255" s="281"/>
      <c r="F255" s="10"/>
      <c r="H255" s="10"/>
      <c r="I255" s="8" t="s">
        <v>1212</v>
      </c>
      <c r="J255" s="8" t="s">
        <v>1213</v>
      </c>
      <c r="O255" s="57"/>
    </row>
    <row r="256" ht="22.5" customHeight="1">
      <c r="A256" s="74" t="s">
        <v>14</v>
      </c>
      <c r="B256" s="6" t="s">
        <v>586</v>
      </c>
      <c r="C256" s="6" t="s">
        <v>587</v>
      </c>
      <c r="D256" s="6" t="s">
        <v>588</v>
      </c>
      <c r="E256" s="7" t="str">
        <f>IFERROR(__xludf.DUMMYFUNCTION("""72."" &amp;+ REGEXEXTRACT(D256, ""\((\d*)\)"")"),"72.060")</f>
        <v>72.060</v>
      </c>
      <c r="F256" s="8" t="s">
        <v>589</v>
      </c>
      <c r="G256" s="6" t="s">
        <v>28</v>
      </c>
      <c r="H256" s="10"/>
      <c r="I256" s="10"/>
      <c r="J256" s="10"/>
      <c r="K256" s="6" t="s">
        <v>28</v>
      </c>
      <c r="L256" s="6" t="s">
        <v>590</v>
      </c>
      <c r="M256" s="6" t="s">
        <v>28</v>
      </c>
      <c r="N256" s="6" t="s">
        <v>591</v>
      </c>
      <c r="O256" s="9" t="s">
        <v>592</v>
      </c>
    </row>
    <row r="257" ht="22.5" customHeight="1">
      <c r="A257" s="78" t="s">
        <v>14</v>
      </c>
      <c r="B257" s="6" t="s">
        <v>28</v>
      </c>
      <c r="C257" s="6" t="s">
        <v>621</v>
      </c>
      <c r="D257" s="6" t="s">
        <v>622</v>
      </c>
      <c r="E257" s="7" t="str">
        <f>IFERROR(__xludf.DUMMYFUNCTION("""72."" &amp;+ REGEXEXTRACT(D257, ""\((\d*)\)"")"),"72.065")</f>
        <v>72.065</v>
      </c>
      <c r="F257" s="8" t="s">
        <v>623</v>
      </c>
      <c r="G257" s="6" t="s">
        <v>28</v>
      </c>
      <c r="H257" s="10"/>
      <c r="I257" s="10"/>
      <c r="J257" s="10"/>
      <c r="K257" s="6" t="s">
        <v>28</v>
      </c>
      <c r="L257" s="6" t="s">
        <v>624</v>
      </c>
      <c r="M257" s="6" t="s">
        <v>28</v>
      </c>
      <c r="N257" s="6" t="s">
        <v>28</v>
      </c>
      <c r="O257" s="9" t="s">
        <v>625</v>
      </c>
    </row>
    <row r="258" ht="22.5" customHeight="1">
      <c r="A258" s="79" t="s">
        <v>14</v>
      </c>
      <c r="B258" s="6" t="s">
        <v>28</v>
      </c>
      <c r="C258" s="6" t="s">
        <v>626</v>
      </c>
      <c r="D258" s="6" t="s">
        <v>627</v>
      </c>
      <c r="E258" s="7" t="str">
        <f>IFERROR(__xludf.DUMMYFUNCTION("""72."" &amp;+ REGEXEXTRACT(D258, ""\((\d*)\)"")"),"72.066")</f>
        <v>72.066</v>
      </c>
      <c r="F258" s="8" t="s">
        <v>628</v>
      </c>
      <c r="G258" s="6" t="s">
        <v>28</v>
      </c>
      <c r="H258" s="10"/>
      <c r="I258" s="10"/>
      <c r="J258" s="10"/>
      <c r="K258" s="6" t="s">
        <v>28</v>
      </c>
      <c r="L258" s="6" t="s">
        <v>629</v>
      </c>
      <c r="M258" s="6" t="s">
        <v>28</v>
      </c>
      <c r="N258" s="6" t="s">
        <v>28</v>
      </c>
      <c r="O258" s="9" t="s">
        <v>630</v>
      </c>
    </row>
    <row r="259" ht="22.5" customHeight="1">
      <c r="A259" s="81" t="s">
        <v>14</v>
      </c>
      <c r="B259" s="6" t="s">
        <v>28</v>
      </c>
      <c r="C259" s="6" t="s">
        <v>641</v>
      </c>
      <c r="D259" s="6" t="s">
        <v>642</v>
      </c>
      <c r="E259" s="7" t="str">
        <f>IFERROR(__xludf.DUMMYFUNCTION("""72."" &amp;+ REGEXEXTRACT(D259, ""\((\d*)\)"")"),"72.087")</f>
        <v>72.087</v>
      </c>
      <c r="F259" s="8" t="s">
        <v>643</v>
      </c>
      <c r="G259" s="6" t="s">
        <v>28</v>
      </c>
      <c r="H259" s="10"/>
      <c r="I259" s="10"/>
      <c r="J259" s="10"/>
      <c r="K259" s="6" t="s">
        <v>28</v>
      </c>
      <c r="L259" s="6" t="s">
        <v>28</v>
      </c>
      <c r="M259" s="6" t="s">
        <v>28</v>
      </c>
      <c r="N259" s="6" t="s">
        <v>28</v>
      </c>
      <c r="O259" s="9" t="s">
        <v>644</v>
      </c>
    </row>
    <row r="260" ht="22.5" customHeight="1">
      <c r="A260" s="82" t="s">
        <v>14</v>
      </c>
      <c r="B260" s="6" t="s">
        <v>28</v>
      </c>
      <c r="C260" s="6" t="s">
        <v>645</v>
      </c>
      <c r="D260" s="6" t="s">
        <v>646</v>
      </c>
      <c r="E260" s="7" t="str">
        <f>IFERROR(__xludf.DUMMYFUNCTION("""72."" &amp;+ REGEXEXTRACT(D260, ""\((\d*)\)"")"),"72.089")</f>
        <v>72.089</v>
      </c>
      <c r="F260" s="8" t="s">
        <v>647</v>
      </c>
      <c r="G260" s="6" t="s">
        <v>28</v>
      </c>
      <c r="H260" s="10"/>
      <c r="I260" s="10"/>
      <c r="J260" s="10"/>
      <c r="K260" s="6" t="s">
        <v>28</v>
      </c>
      <c r="L260" s="6" t="s">
        <v>28</v>
      </c>
      <c r="M260" s="6" t="s">
        <v>28</v>
      </c>
      <c r="N260" s="6" t="s">
        <v>28</v>
      </c>
      <c r="O260" s="9" t="s">
        <v>648</v>
      </c>
    </row>
    <row r="261" ht="22.5" customHeight="1">
      <c r="A261" s="83" t="s">
        <v>14</v>
      </c>
      <c r="B261" s="6" t="s">
        <v>28</v>
      </c>
      <c r="C261" s="6" t="s">
        <v>649</v>
      </c>
      <c r="D261" s="6" t="s">
        <v>650</v>
      </c>
      <c r="E261" s="7" t="str">
        <f>IFERROR(__xludf.DUMMYFUNCTION("""72."" &amp;+ REGEXEXTRACT(D261, ""\((\d*)\)"")"),"72.094")</f>
        <v>72.094</v>
      </c>
      <c r="F261" s="8" t="s">
        <v>651</v>
      </c>
      <c r="G261" s="6" t="s">
        <v>28</v>
      </c>
      <c r="H261" s="10"/>
      <c r="I261" s="10"/>
      <c r="J261" s="10"/>
      <c r="K261" s="6" t="s">
        <v>28</v>
      </c>
      <c r="L261" s="6" t="s">
        <v>28</v>
      </c>
      <c r="M261" s="6" t="s">
        <v>28</v>
      </c>
      <c r="N261" s="6" t="s">
        <v>28</v>
      </c>
      <c r="O261" s="9" t="s">
        <v>507</v>
      </c>
    </row>
    <row r="262" ht="22.5" customHeight="1">
      <c r="A262" s="93" t="s">
        <v>14</v>
      </c>
      <c r="B262" s="6" t="s">
        <v>722</v>
      </c>
      <c r="C262" s="6" t="s">
        <v>723</v>
      </c>
      <c r="D262" s="6" t="s">
        <v>724</v>
      </c>
      <c r="E262" s="7" t="str">
        <f>IFERROR(__xludf.DUMMYFUNCTION("""72."" &amp;+ REGEXEXTRACT(D262, ""\((\d*)\)"")"),"72.148")</f>
        <v>72.148</v>
      </c>
      <c r="F262" s="8" t="s">
        <v>725</v>
      </c>
      <c r="G262" s="6" t="s">
        <v>28</v>
      </c>
      <c r="H262" s="10"/>
      <c r="I262" s="10"/>
      <c r="J262" s="10"/>
      <c r="K262" s="6" t="s">
        <v>28</v>
      </c>
      <c r="L262" s="6" t="s">
        <v>726</v>
      </c>
      <c r="M262" s="6" t="s">
        <v>28</v>
      </c>
      <c r="N262" s="6" t="s">
        <v>28</v>
      </c>
      <c r="O262" s="9" t="s">
        <v>727</v>
      </c>
    </row>
    <row r="263" ht="22.5" customHeight="1">
      <c r="A263" s="102" t="s">
        <v>14</v>
      </c>
      <c r="B263" s="6" t="s">
        <v>779</v>
      </c>
      <c r="C263" s="6" t="s">
        <v>780</v>
      </c>
      <c r="D263" s="6" t="s">
        <v>781</v>
      </c>
      <c r="E263" s="103" t="s">
        <v>782</v>
      </c>
      <c r="F263" s="104" t="s">
        <v>782</v>
      </c>
      <c r="G263" s="6" t="s">
        <v>28</v>
      </c>
      <c r="H263" s="10"/>
      <c r="I263" s="10"/>
      <c r="J263" s="10"/>
      <c r="K263" s="6" t="s">
        <v>28</v>
      </c>
      <c r="L263" s="6" t="s">
        <v>28</v>
      </c>
      <c r="M263" s="6" t="s">
        <v>28</v>
      </c>
      <c r="N263" s="6" t="s">
        <v>28</v>
      </c>
      <c r="O263" s="9" t="s">
        <v>416</v>
      </c>
    </row>
    <row r="264" ht="22.5" customHeight="1">
      <c r="A264" s="6" t="s">
        <v>14</v>
      </c>
      <c r="B264" s="6" t="s">
        <v>783</v>
      </c>
      <c r="C264" s="6" t="s">
        <v>784</v>
      </c>
      <c r="D264" s="6" t="s">
        <v>785</v>
      </c>
      <c r="E264" s="103" t="s">
        <v>786</v>
      </c>
      <c r="F264" s="104" t="s">
        <v>786</v>
      </c>
      <c r="G264" s="6" t="s">
        <v>28</v>
      </c>
      <c r="H264" s="10"/>
      <c r="I264" s="10"/>
      <c r="J264" s="10"/>
      <c r="K264" s="6" t="s">
        <v>28</v>
      </c>
      <c r="L264" s="6" t="s">
        <v>28</v>
      </c>
      <c r="M264" s="6" t="s">
        <v>28</v>
      </c>
      <c r="N264" s="6" t="s">
        <v>28</v>
      </c>
      <c r="O264" s="9" t="s">
        <v>507</v>
      </c>
    </row>
    <row r="265" ht="22.5" customHeight="1">
      <c r="A265" s="6" t="s">
        <v>14</v>
      </c>
      <c r="B265" s="6" t="s">
        <v>787</v>
      </c>
      <c r="C265" s="6" t="s">
        <v>788</v>
      </c>
      <c r="D265" s="6" t="s">
        <v>789</v>
      </c>
      <c r="E265" s="103" t="s">
        <v>790</v>
      </c>
      <c r="F265" s="104" t="s">
        <v>790</v>
      </c>
      <c r="G265" s="6" t="s">
        <v>28</v>
      </c>
      <c r="H265" s="10"/>
      <c r="I265" s="10"/>
      <c r="J265" s="10"/>
      <c r="K265" s="6" t="s">
        <v>28</v>
      </c>
      <c r="L265" s="6" t="s">
        <v>28</v>
      </c>
      <c r="M265" s="6" t="s">
        <v>28</v>
      </c>
      <c r="N265" s="6" t="s">
        <v>28</v>
      </c>
      <c r="O265" s="9" t="s">
        <v>791</v>
      </c>
    </row>
    <row r="266" ht="22.5" customHeight="1">
      <c r="A266" s="105" t="s">
        <v>14</v>
      </c>
      <c r="B266" s="6" t="s">
        <v>792</v>
      </c>
      <c r="C266" s="6" t="s">
        <v>793</v>
      </c>
      <c r="D266" s="6" t="s">
        <v>794</v>
      </c>
      <c r="E266" s="103" t="s">
        <v>795</v>
      </c>
      <c r="F266" s="104" t="s">
        <v>795</v>
      </c>
      <c r="G266" s="6" t="s">
        <v>28</v>
      </c>
      <c r="H266" s="10"/>
      <c r="I266" s="10"/>
      <c r="J266" s="10"/>
      <c r="K266" s="6" t="s">
        <v>28</v>
      </c>
      <c r="L266" s="6" t="s">
        <v>28</v>
      </c>
      <c r="M266" s="6" t="s">
        <v>28</v>
      </c>
      <c r="N266" s="6" t="s">
        <v>28</v>
      </c>
      <c r="O266" s="9" t="s">
        <v>592</v>
      </c>
    </row>
    <row r="267" ht="22.5" customHeight="1">
      <c r="A267" s="6" t="s">
        <v>14</v>
      </c>
      <c r="B267" s="6" t="s">
        <v>796</v>
      </c>
      <c r="C267" s="6" t="s">
        <v>797</v>
      </c>
      <c r="D267" s="6" t="s">
        <v>798</v>
      </c>
      <c r="E267" s="103" t="s">
        <v>799</v>
      </c>
      <c r="F267" s="104" t="s">
        <v>799</v>
      </c>
      <c r="G267" s="6" t="s">
        <v>28</v>
      </c>
      <c r="H267" s="10"/>
      <c r="I267" s="10"/>
      <c r="J267" s="10"/>
      <c r="K267" s="6" t="s">
        <v>28</v>
      </c>
      <c r="L267" s="6" t="s">
        <v>28</v>
      </c>
      <c r="M267" s="6" t="s">
        <v>28</v>
      </c>
      <c r="N267" s="6" t="s">
        <v>28</v>
      </c>
      <c r="O267" s="9" t="s">
        <v>800</v>
      </c>
    </row>
    <row r="268" ht="22.5" customHeight="1">
      <c r="A268" s="91" t="s">
        <v>14</v>
      </c>
      <c r="B268" s="6" t="s">
        <v>801</v>
      </c>
      <c r="C268" s="6" t="s">
        <v>802</v>
      </c>
      <c r="D268" s="6" t="s">
        <v>803</v>
      </c>
      <c r="E268" s="103" t="s">
        <v>804</v>
      </c>
      <c r="F268" s="104" t="s">
        <v>804</v>
      </c>
      <c r="G268" s="6" t="s">
        <v>28</v>
      </c>
      <c r="H268" s="10"/>
      <c r="I268" s="10"/>
      <c r="J268" s="10"/>
      <c r="K268" s="6" t="s">
        <v>28</v>
      </c>
      <c r="L268" s="6" t="s">
        <v>28</v>
      </c>
      <c r="M268" s="6" t="s">
        <v>28</v>
      </c>
      <c r="N268" s="6" t="s">
        <v>28</v>
      </c>
      <c r="O268" s="9" t="s">
        <v>805</v>
      </c>
    </row>
    <row r="269" ht="22.5" customHeight="1">
      <c r="A269" s="52" t="s">
        <v>14</v>
      </c>
      <c r="B269" s="6" t="s">
        <v>806</v>
      </c>
      <c r="C269" s="6" t="s">
        <v>807</v>
      </c>
      <c r="D269" s="6" t="s">
        <v>808</v>
      </c>
      <c r="E269" s="103" t="s">
        <v>809</v>
      </c>
      <c r="F269" s="104" t="s">
        <v>809</v>
      </c>
      <c r="G269" s="6" t="s">
        <v>28</v>
      </c>
      <c r="H269" s="10"/>
      <c r="I269" s="10"/>
      <c r="J269" s="10"/>
      <c r="K269" s="6" t="s">
        <v>28</v>
      </c>
      <c r="L269" s="6" t="s">
        <v>28</v>
      </c>
      <c r="M269" s="6" t="s">
        <v>28</v>
      </c>
      <c r="N269" s="6" t="s">
        <v>28</v>
      </c>
      <c r="O269" s="9" t="s">
        <v>437</v>
      </c>
    </row>
    <row r="270" ht="22.5" customHeight="1">
      <c r="A270" s="106" t="s">
        <v>14</v>
      </c>
      <c r="B270" s="6" t="s">
        <v>810</v>
      </c>
      <c r="C270" s="6" t="s">
        <v>811</v>
      </c>
      <c r="D270" s="6" t="s">
        <v>812</v>
      </c>
      <c r="E270" s="103" t="s">
        <v>813</v>
      </c>
      <c r="F270" s="104" t="s">
        <v>813</v>
      </c>
      <c r="G270" s="6" t="s">
        <v>28</v>
      </c>
      <c r="H270" s="10"/>
      <c r="I270" s="10"/>
      <c r="J270" s="10"/>
      <c r="K270" s="6" t="s">
        <v>28</v>
      </c>
      <c r="L270" s="6" t="s">
        <v>28</v>
      </c>
      <c r="M270" s="6" t="s">
        <v>28</v>
      </c>
      <c r="N270" s="6" t="s">
        <v>28</v>
      </c>
      <c r="O270" s="9" t="s">
        <v>814</v>
      </c>
    </row>
    <row r="271" ht="22.5" customHeight="1">
      <c r="A271" s="282" t="s">
        <v>14</v>
      </c>
      <c r="B271" s="6" t="s">
        <v>28</v>
      </c>
      <c r="C271" s="6" t="s">
        <v>1214</v>
      </c>
      <c r="D271" s="6" t="s">
        <v>28</v>
      </c>
      <c r="F271" s="10"/>
      <c r="G271" s="6" t="s">
        <v>28</v>
      </c>
      <c r="H271" s="10"/>
      <c r="I271" s="10"/>
      <c r="J271" s="10"/>
      <c r="K271" s="6" t="s">
        <v>28</v>
      </c>
      <c r="L271" s="6" t="s">
        <v>28</v>
      </c>
      <c r="M271" s="6" t="s">
        <v>28</v>
      </c>
      <c r="N271" s="6" t="s">
        <v>1215</v>
      </c>
      <c r="O271" s="9" t="s">
        <v>1216</v>
      </c>
    </row>
    <row r="272" ht="22.5" customHeight="1">
      <c r="A272" s="81" t="s">
        <v>14</v>
      </c>
      <c r="B272" s="6" t="s">
        <v>28</v>
      </c>
      <c r="C272" s="6" t="s">
        <v>1217</v>
      </c>
      <c r="D272" s="6" t="s">
        <v>28</v>
      </c>
      <c r="F272" s="10"/>
      <c r="G272" s="6" t="s">
        <v>28</v>
      </c>
      <c r="H272" s="10"/>
      <c r="I272" s="10"/>
      <c r="J272" s="10"/>
      <c r="K272" s="6" t="s">
        <v>28</v>
      </c>
      <c r="L272" s="6" t="s">
        <v>28</v>
      </c>
      <c r="M272" s="6" t="s">
        <v>28</v>
      </c>
      <c r="N272" s="6" t="s">
        <v>28</v>
      </c>
      <c r="O272" s="9" t="s">
        <v>1218</v>
      </c>
    </row>
    <row r="273" ht="22.5" customHeight="1">
      <c r="A273" s="283" t="s">
        <v>14</v>
      </c>
      <c r="B273" s="6" t="s">
        <v>468</v>
      </c>
      <c r="C273" s="6" t="s">
        <v>1219</v>
      </c>
      <c r="D273" s="6" t="s">
        <v>28</v>
      </c>
      <c r="F273" s="10"/>
      <c r="G273" s="6" t="s">
        <v>28</v>
      </c>
      <c r="H273" s="10"/>
      <c r="I273" s="10"/>
      <c r="J273" s="10"/>
      <c r="K273" s="6" t="s">
        <v>28</v>
      </c>
      <c r="L273" s="6" t="s">
        <v>28</v>
      </c>
      <c r="M273" s="6" t="s">
        <v>28</v>
      </c>
      <c r="N273" s="6" t="s">
        <v>28</v>
      </c>
      <c r="O273" s="9" t="s">
        <v>1220</v>
      </c>
    </row>
    <row r="274" ht="22.5" customHeight="1">
      <c r="A274" s="106" t="s">
        <v>14</v>
      </c>
      <c r="B274" s="6" t="s">
        <v>199</v>
      </c>
      <c r="C274" s="6" t="s">
        <v>1221</v>
      </c>
      <c r="D274" s="6" t="s">
        <v>28</v>
      </c>
      <c r="F274" s="10"/>
      <c r="G274" s="6" t="s">
        <v>28</v>
      </c>
      <c r="H274" s="10"/>
      <c r="I274" s="10"/>
      <c r="J274" s="10"/>
      <c r="K274" s="6" t="s">
        <v>28</v>
      </c>
      <c r="L274" s="6" t="s">
        <v>28</v>
      </c>
      <c r="M274" s="6" t="s">
        <v>28</v>
      </c>
      <c r="N274" s="6" t="s">
        <v>28</v>
      </c>
      <c r="O274" s="9" t="s">
        <v>814</v>
      </c>
    </row>
    <row r="275">
      <c r="F275" s="10"/>
      <c r="H275" s="10"/>
      <c r="I275" s="10"/>
      <c r="J275" s="10"/>
      <c r="O275" s="57"/>
    </row>
    <row r="276">
      <c r="F276" s="10"/>
      <c r="H276" s="10"/>
      <c r="I276" s="10"/>
      <c r="J276" s="10"/>
      <c r="O276" s="57"/>
    </row>
    <row r="277">
      <c r="F277" s="10"/>
      <c r="H277" s="10"/>
      <c r="I277" s="10"/>
      <c r="J277" s="10"/>
      <c r="O277" s="57"/>
    </row>
    <row r="278">
      <c r="F278" s="10"/>
      <c r="H278" s="10"/>
      <c r="I278" s="10"/>
      <c r="J278" s="10"/>
      <c r="O278" s="57"/>
    </row>
    <row r="279">
      <c r="F279" s="10"/>
      <c r="H279" s="10"/>
      <c r="I279" s="10"/>
      <c r="J279" s="10"/>
      <c r="O279" s="57"/>
    </row>
    <row r="280">
      <c r="F280" s="10"/>
      <c r="H280" s="10"/>
      <c r="I280" s="10"/>
      <c r="J280" s="10"/>
      <c r="O280" s="57"/>
    </row>
    <row r="281">
      <c r="F281" s="10"/>
      <c r="H281" s="10"/>
      <c r="I281" s="10"/>
      <c r="J281" s="10"/>
      <c r="O281" s="57"/>
    </row>
    <row r="282">
      <c r="F282" s="10"/>
      <c r="H282" s="10"/>
      <c r="I282" s="10"/>
      <c r="J282" s="10"/>
      <c r="O282" s="57"/>
    </row>
    <row r="283">
      <c r="F283" s="10"/>
      <c r="H283" s="10"/>
      <c r="I283" s="10"/>
      <c r="J283" s="10"/>
      <c r="O283" s="57"/>
    </row>
    <row r="284">
      <c r="F284" s="10"/>
      <c r="H284" s="10"/>
      <c r="I284" s="10"/>
      <c r="J284" s="10"/>
      <c r="O284" s="57"/>
    </row>
    <row r="285">
      <c r="F285" s="10"/>
      <c r="H285" s="10"/>
      <c r="I285" s="10"/>
      <c r="J285" s="10"/>
      <c r="O285" s="57"/>
    </row>
    <row r="286">
      <c r="F286" s="10"/>
      <c r="H286" s="10"/>
      <c r="I286" s="10"/>
      <c r="J286" s="10"/>
      <c r="O286" s="57"/>
    </row>
    <row r="287">
      <c r="F287" s="10"/>
      <c r="H287" s="10"/>
      <c r="I287" s="10"/>
      <c r="J287" s="10"/>
      <c r="O287" s="57"/>
    </row>
    <row r="288">
      <c r="A288" s="6" t="s">
        <v>1222</v>
      </c>
      <c r="F288" s="10"/>
      <c r="H288" s="10"/>
      <c r="I288" s="10"/>
      <c r="J288" s="10"/>
      <c r="O288" s="57"/>
    </row>
    <row r="289">
      <c r="A289" s="285" t="s">
        <v>1223</v>
      </c>
      <c r="O289" s="57"/>
    </row>
    <row r="290">
      <c r="F290" s="10"/>
      <c r="H290" s="10"/>
      <c r="I290" s="10"/>
      <c r="J290" s="10"/>
      <c r="O290" s="57"/>
    </row>
    <row r="291">
      <c r="F291" s="10"/>
      <c r="H291" s="10"/>
      <c r="I291" s="10"/>
      <c r="J291" s="10"/>
      <c r="O291" s="57"/>
    </row>
    <row r="292">
      <c r="F292" s="10"/>
      <c r="H292" s="10"/>
      <c r="I292" s="10"/>
      <c r="J292" s="10"/>
      <c r="O292" s="57"/>
    </row>
    <row r="293">
      <c r="F293" s="10"/>
      <c r="H293" s="10"/>
      <c r="I293" s="10"/>
      <c r="J293" s="10"/>
      <c r="O293" s="57"/>
    </row>
    <row r="294">
      <c r="F294" s="10"/>
      <c r="H294" s="10"/>
      <c r="I294" s="10"/>
      <c r="J294" s="10"/>
      <c r="O294" s="57"/>
    </row>
    <row r="295">
      <c r="F295" s="10"/>
      <c r="H295" s="10"/>
      <c r="I295" s="10"/>
      <c r="J295" s="10"/>
      <c r="O295" s="57"/>
    </row>
  </sheetData>
  <autoFilter ref="$A$1:$Y$295"/>
  <mergeCells count="1">
    <mergeCell ref="A289:J289"/>
  </mergeCells>
  <hyperlinks>
    <hyperlink r:id="rId1" ref="A289"/>
  </hyperlinks>
  <drawing r:id="rId2"/>
</worksheet>
</file>